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chiptechnology-my.sharepoint.com/personal/alfredo_crespo_microchip_com/Documents/_Metrología/____MCP3914/Deliverables/"/>
    </mc:Choice>
  </mc:AlternateContent>
  <xr:revisionPtr revIDLastSave="501" documentId="8_{F2DC663C-BC6C-42D2-AAAF-029B103728EE}" xr6:coauthVersionLast="47" xr6:coauthVersionMax="47" xr10:uidLastSave="{DEA15D96-0F73-4442-A057-9B659B13D096}"/>
  <bookViews>
    <workbookView xWindow="28680" yWindow="-120" windowWidth="29040" windowHeight="17640" activeTab="1" xr2:uid="{C18C18F5-0DE0-4A9A-A829-62A3793819DF}"/>
  </bookViews>
  <sheets>
    <sheet name="CONFIGURATOR" sheetId="15" r:id="rId1"/>
    <sheet name="CALIBRATION GUIDE" sheetId="14" r:id="rId2"/>
    <sheet name="TOOLS" sheetId="8" r:id="rId3"/>
    <sheet name="Version control" sheetId="2" r:id="rId4"/>
    <sheet name="CMD GENERATOR" sheetId="13" r:id="rId5"/>
    <sheet name="AUX_INTERNAL" sheetId="16" r:id="rId6"/>
    <sheet name="CALCULATIONS MCP" sheetId="17" r:id="rId7"/>
  </sheets>
  <definedNames>
    <definedName name="_xlnm.Print_Area" localSheetId="6">'CALCULATIONS MCP'!#REF!</definedName>
    <definedName name="_xlnm.Print_Area" localSheetId="1">'CALIBRATION GUIDE'!$B$1:$H$46</definedName>
    <definedName name="_xlnm.Print_Area" localSheetId="2">TOOLS!$B$1:$F$14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0" i="16" l="1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E14" i="8"/>
  <c r="E13" i="8"/>
  <c r="E12" i="8"/>
  <c r="I7" i="8"/>
  <c r="I6" i="8"/>
  <c r="E11" i="8" s="1"/>
  <c r="E9" i="8"/>
  <c r="E8" i="8"/>
  <c r="E10" i="8" l="1"/>
  <c r="E7" i="8" l="1"/>
  <c r="E6" i="8"/>
  <c r="E5" i="8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O55" i="15"/>
  <c r="O59" i="15"/>
  <c r="O58" i="15"/>
  <c r="O57" i="15"/>
  <c r="T57" i="15" s="1"/>
  <c r="E61" i="16" l="1"/>
  <c r="E60" i="16"/>
  <c r="E59" i="16"/>
  <c r="E90" i="16"/>
  <c r="E74" i="16"/>
  <c r="E73" i="16"/>
  <c r="E89" i="16"/>
  <c r="E87" i="16"/>
  <c r="E86" i="16"/>
  <c r="E70" i="16"/>
  <c r="E83" i="16"/>
  <c r="E67" i="16"/>
  <c r="E76" i="16"/>
  <c r="E88" i="16"/>
  <c r="E85" i="16"/>
  <c r="E69" i="16"/>
  <c r="E65" i="16"/>
  <c r="E72" i="16"/>
  <c r="E84" i="16"/>
  <c r="E68" i="16"/>
  <c r="E80" i="16"/>
  <c r="E79" i="16"/>
  <c r="E82" i="16"/>
  <c r="E66" i="16"/>
  <c r="E81" i="16"/>
  <c r="E64" i="16"/>
  <c r="E63" i="16"/>
  <c r="E71" i="16"/>
  <c r="E78" i="16"/>
  <c r="E62" i="16"/>
  <c r="E75" i="16"/>
  <c r="E77" i="16"/>
  <c r="AZ38" i="17"/>
  <c r="AZ37" i="17"/>
  <c r="AZ36" i="17"/>
  <c r="AZ35" i="17"/>
  <c r="AZ34" i="17"/>
  <c r="AZ33" i="17"/>
  <c r="AZ32" i="17"/>
  <c r="AZ31" i="17"/>
  <c r="AZ30" i="17"/>
  <c r="AZ29" i="17"/>
  <c r="AZ28" i="17"/>
  <c r="AZ27" i="17"/>
  <c r="AZ26" i="17"/>
  <c r="AZ25" i="17"/>
  <c r="AZ24" i="17"/>
  <c r="AZ23" i="17"/>
  <c r="AZ22" i="17"/>
  <c r="AZ21" i="17"/>
  <c r="AZ20" i="17"/>
  <c r="AZ19" i="17"/>
  <c r="F59" i="16" l="1"/>
  <c r="F60" i="16"/>
  <c r="F61" i="16"/>
  <c r="F62" i="16"/>
  <c r="F81" i="16"/>
  <c r="F72" i="16"/>
  <c r="F80" i="16"/>
  <c r="F86" i="16"/>
  <c r="F63" i="16"/>
  <c r="F76" i="16"/>
  <c r="F88" i="16"/>
  <c r="F65" i="16"/>
  <c r="F74" i="16"/>
  <c r="F82" i="16"/>
  <c r="F64" i="16"/>
  <c r="F84" i="16"/>
  <c r="F90" i="16"/>
  <c r="F70" i="16"/>
  <c r="F75" i="16"/>
  <c r="F77" i="16"/>
  <c r="F79" i="16"/>
  <c r="F89" i="16"/>
  <c r="F66" i="16"/>
  <c r="F73" i="16"/>
  <c r="F85" i="16"/>
  <c r="F83" i="16"/>
  <c r="F87" i="16"/>
  <c r="F71" i="16"/>
  <c r="F69" i="16"/>
  <c r="F78" i="16"/>
  <c r="F67" i="16"/>
  <c r="F68" i="16"/>
  <c r="AY8" i="17"/>
  <c r="AY9" i="17" s="1"/>
  <c r="AY10" i="17" s="1"/>
  <c r="AY11" i="17" s="1"/>
  <c r="AY12" i="17" s="1"/>
  <c r="AY13" i="17" s="1"/>
  <c r="AY14" i="17" s="1"/>
  <c r="AY15" i="17" s="1"/>
  <c r="AY16" i="17" s="1"/>
  <c r="AY17" i="17" s="1"/>
  <c r="AY18" i="17" s="1"/>
  <c r="AY19" i="17" s="1"/>
  <c r="AY20" i="17" s="1"/>
  <c r="AY21" i="17" s="1"/>
  <c r="AY22" i="17" s="1"/>
  <c r="AY23" i="17" s="1"/>
  <c r="AY24" i="17" s="1"/>
  <c r="AY25" i="17" s="1"/>
  <c r="AY26" i="17" s="1"/>
  <c r="AY27" i="17" s="1"/>
  <c r="AY28" i="17" s="1"/>
  <c r="AY29" i="17" s="1"/>
  <c r="AY30" i="17" s="1"/>
  <c r="AY31" i="17" s="1"/>
  <c r="AY32" i="17" s="1"/>
  <c r="AY33" i="17" s="1"/>
  <c r="AY34" i="17" s="1"/>
  <c r="AY35" i="17" s="1"/>
  <c r="AY36" i="17" s="1"/>
  <c r="AY37" i="17" s="1"/>
  <c r="AY38" i="17" s="1"/>
  <c r="AS8" i="17"/>
  <c r="AS9" i="17" s="1"/>
  <c r="AS10" i="17" s="1"/>
  <c r="AS11" i="17" s="1"/>
  <c r="AS12" i="17" s="1"/>
  <c r="AS13" i="17" s="1"/>
  <c r="AS14" i="17" s="1"/>
  <c r="AS15" i="17" s="1"/>
  <c r="AS16" i="17" s="1"/>
  <c r="AS17" i="17" s="1"/>
  <c r="AS18" i="17" s="1"/>
  <c r="AS19" i="17" s="1"/>
  <c r="AS20" i="17" s="1"/>
  <c r="AS21" i="17" s="1"/>
  <c r="AS22" i="17" s="1"/>
  <c r="AS23" i="17" s="1"/>
  <c r="AS24" i="17" s="1"/>
  <c r="AS25" i="17" s="1"/>
  <c r="AS26" i="17" s="1"/>
  <c r="AS27" i="17" s="1"/>
  <c r="AS28" i="17" s="1"/>
  <c r="AS29" i="17" s="1"/>
  <c r="AS30" i="17" s="1"/>
  <c r="AS31" i="17" s="1"/>
  <c r="AS32" i="17" s="1"/>
  <c r="AS33" i="17" s="1"/>
  <c r="AS34" i="17" s="1"/>
  <c r="AS35" i="17" s="1"/>
  <c r="AS36" i="17" s="1"/>
  <c r="AS37" i="17" s="1"/>
  <c r="AS38" i="17" s="1"/>
  <c r="AT38" i="17"/>
  <c r="AT37" i="17"/>
  <c r="AT36" i="17"/>
  <c r="AT35" i="17"/>
  <c r="AT34" i="17"/>
  <c r="AT33" i="17"/>
  <c r="AT32" i="17"/>
  <c r="AT31" i="17"/>
  <c r="AT30" i="17"/>
  <c r="AT29" i="17"/>
  <c r="AT28" i="17"/>
  <c r="AT27" i="17"/>
  <c r="AT26" i="17"/>
  <c r="AT25" i="17"/>
  <c r="AT24" i="17"/>
  <c r="AT23" i="17"/>
  <c r="AH38" i="17" l="1"/>
  <c r="AH37" i="17"/>
  <c r="AH36" i="17"/>
  <c r="AH35" i="17"/>
  <c r="AH34" i="17"/>
  <c r="AH33" i="17"/>
  <c r="AH32" i="17"/>
  <c r="AH31" i="17"/>
  <c r="AH30" i="17"/>
  <c r="AH29" i="17"/>
  <c r="AH28" i="17"/>
  <c r="AH27" i="17"/>
  <c r="AH26" i="17"/>
  <c r="AH25" i="17"/>
  <c r="AH24" i="17"/>
  <c r="AH23" i="17"/>
  <c r="AH22" i="17"/>
  <c r="AH21" i="17"/>
  <c r="AH20" i="17"/>
  <c r="AH19" i="17"/>
  <c r="AH18" i="17"/>
  <c r="AH17" i="17"/>
  <c r="AH16" i="17"/>
  <c r="AH15" i="17"/>
  <c r="AH14" i="17"/>
  <c r="AH13" i="17"/>
  <c r="AH12" i="17"/>
  <c r="AH11" i="17"/>
  <c r="AH10" i="17"/>
  <c r="AH9" i="17"/>
  <c r="AH8" i="17"/>
  <c r="AH7" i="17"/>
  <c r="E21" i="15" l="1"/>
  <c r="X14" i="17"/>
  <c r="X18" i="17" s="1"/>
  <c r="X13" i="17"/>
  <c r="X17" i="17" s="1"/>
  <c r="X12" i="17"/>
  <c r="X16" i="17" s="1"/>
  <c r="X11" i="17"/>
  <c r="N14" i="17"/>
  <c r="N18" i="17" s="1"/>
  <c r="N13" i="17"/>
  <c r="N17" i="17" s="1"/>
  <c r="N12" i="17"/>
  <c r="N16" i="17" s="1"/>
  <c r="N11" i="17"/>
  <c r="N15" i="17" s="1"/>
  <c r="N19" i="17" s="1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S14" i="17"/>
  <c r="Q7" i="17"/>
  <c r="AB14" i="17"/>
  <c r="AA9" i="17"/>
  <c r="AC12" i="17"/>
  <c r="Q8" i="17"/>
  <c r="AA7" i="17"/>
  <c r="AB7" i="17"/>
  <c r="S7" i="17"/>
  <c r="S11" i="17"/>
  <c r="AB12" i="17"/>
  <c r="AB10" i="17"/>
  <c r="S10" i="17"/>
  <c r="AC8" i="17"/>
  <c r="AA11" i="17"/>
  <c r="AC9" i="17"/>
  <c r="R8" i="17"/>
  <c r="Q9" i="17"/>
  <c r="S9" i="17"/>
  <c r="S8" i="17"/>
  <c r="R7" i="17"/>
  <c r="AA10" i="17"/>
  <c r="R11" i="17"/>
  <c r="AA8" i="17"/>
  <c r="R18" i="17"/>
  <c r="AC13" i="17"/>
  <c r="AC10" i="17"/>
  <c r="AA14" i="17"/>
  <c r="R9" i="17"/>
  <c r="AC7" i="17"/>
  <c r="R10" i="17"/>
  <c r="Q10" i="17"/>
  <c r="AA13" i="17"/>
  <c r="AB13" i="17"/>
  <c r="AB9" i="17"/>
  <c r="AB8" i="17"/>
  <c r="AC14" i="17"/>
  <c r="AE14" i="17" l="1"/>
  <c r="AE7" i="17"/>
  <c r="AE8" i="17"/>
  <c r="AE12" i="17"/>
  <c r="AE9" i="17"/>
  <c r="AE13" i="17"/>
  <c r="AE10" i="17"/>
  <c r="X20" i="17"/>
  <c r="X21" i="17"/>
  <c r="X22" i="17"/>
  <c r="X15" i="17"/>
  <c r="U14" i="17"/>
  <c r="U9" i="17"/>
  <c r="U8" i="17"/>
  <c r="U10" i="17"/>
  <c r="U7" i="17"/>
  <c r="U11" i="17"/>
  <c r="N20" i="17"/>
  <c r="N21" i="17"/>
  <c r="N23" i="17"/>
  <c r="N22" i="17"/>
  <c r="D14" i="17"/>
  <c r="D18" i="17" s="1"/>
  <c r="D22" i="17" s="1"/>
  <c r="D26" i="17" s="1"/>
  <c r="D30" i="17" s="1"/>
  <c r="D34" i="17" s="1"/>
  <c r="D38" i="17" s="1"/>
  <c r="D42" i="17" s="1"/>
  <c r="D46" i="17" s="1"/>
  <c r="D50" i="17" s="1"/>
  <c r="D54" i="17" s="1"/>
  <c r="D58" i="17" s="1"/>
  <c r="D62" i="17" s="1"/>
  <c r="D66" i="17" s="1"/>
  <c r="D70" i="17" s="1"/>
  <c r="D74" i="17" s="1"/>
  <c r="D78" i="17" s="1"/>
  <c r="D82" i="17" s="1"/>
  <c r="D86" i="17" s="1"/>
  <c r="D90" i="17" s="1"/>
  <c r="D94" i="17" s="1"/>
  <c r="D98" i="17" s="1"/>
  <c r="D102" i="17" s="1"/>
  <c r="D106" i="17" s="1"/>
  <c r="D110" i="17" s="1"/>
  <c r="D114" i="17" s="1"/>
  <c r="D118" i="17" s="1"/>
  <c r="D122" i="17" s="1"/>
  <c r="D126" i="17" s="1"/>
  <c r="D130" i="17" s="1"/>
  <c r="D134" i="17" s="1"/>
  <c r="D138" i="17" s="1"/>
  <c r="D142" i="17" s="1"/>
  <c r="D146" i="17" s="1"/>
  <c r="D150" i="17" s="1"/>
  <c r="D154" i="17" s="1"/>
  <c r="D158" i="17" s="1"/>
  <c r="D162" i="17" s="1"/>
  <c r="D166" i="17" s="1"/>
  <c r="D170" i="17" s="1"/>
  <c r="D174" i="17" s="1"/>
  <c r="D178" i="17" s="1"/>
  <c r="D182" i="17" s="1"/>
  <c r="D186" i="17" s="1"/>
  <c r="D190" i="17" s="1"/>
  <c r="D194" i="17" s="1"/>
  <c r="D198" i="17" s="1"/>
  <c r="D202" i="17" s="1"/>
  <c r="D206" i="17" s="1"/>
  <c r="D210" i="17" s="1"/>
  <c r="D214" i="17" s="1"/>
  <c r="D218" i="17" s="1"/>
  <c r="D222" i="17" s="1"/>
  <c r="D226" i="17" s="1"/>
  <c r="D230" i="17" s="1"/>
  <c r="D234" i="17" s="1"/>
  <c r="D238" i="17" s="1"/>
  <c r="D242" i="17" s="1"/>
  <c r="D246" i="17" s="1"/>
  <c r="D250" i="17" s="1"/>
  <c r="D254" i="17" s="1"/>
  <c r="D258" i="17" s="1"/>
  <c r="D262" i="17" s="1"/>
  <c r="D266" i="17" s="1"/>
  <c r="D270" i="17" s="1"/>
  <c r="D274" i="17" s="1"/>
  <c r="D278" i="17" s="1"/>
  <c r="D282" i="17" s="1"/>
  <c r="D286" i="17" s="1"/>
  <c r="D13" i="17"/>
  <c r="D17" i="17" s="1"/>
  <c r="D21" i="17" s="1"/>
  <c r="D25" i="17" s="1"/>
  <c r="D29" i="17" s="1"/>
  <c r="D33" i="17" s="1"/>
  <c r="D37" i="17" s="1"/>
  <c r="D41" i="17" s="1"/>
  <c r="D45" i="17" s="1"/>
  <c r="D49" i="17" s="1"/>
  <c r="D53" i="17" s="1"/>
  <c r="D57" i="17" s="1"/>
  <c r="D61" i="17" s="1"/>
  <c r="D65" i="17" s="1"/>
  <c r="D69" i="17" s="1"/>
  <c r="D73" i="17" s="1"/>
  <c r="D77" i="17" s="1"/>
  <c r="D81" i="17" s="1"/>
  <c r="D85" i="17" s="1"/>
  <c r="D89" i="17" s="1"/>
  <c r="D93" i="17" s="1"/>
  <c r="D97" i="17" s="1"/>
  <c r="D101" i="17" s="1"/>
  <c r="D105" i="17" s="1"/>
  <c r="D109" i="17" s="1"/>
  <c r="D113" i="17" s="1"/>
  <c r="D117" i="17" s="1"/>
  <c r="D121" i="17" s="1"/>
  <c r="D125" i="17" s="1"/>
  <c r="D129" i="17" s="1"/>
  <c r="D133" i="17" s="1"/>
  <c r="D137" i="17" s="1"/>
  <c r="D141" i="17" s="1"/>
  <c r="D145" i="17" s="1"/>
  <c r="D149" i="17" s="1"/>
  <c r="D153" i="17" s="1"/>
  <c r="D157" i="17" s="1"/>
  <c r="D161" i="17" s="1"/>
  <c r="D165" i="17" s="1"/>
  <c r="D169" i="17" s="1"/>
  <c r="D173" i="17" s="1"/>
  <c r="D177" i="17" s="1"/>
  <c r="D181" i="17" s="1"/>
  <c r="D185" i="17" s="1"/>
  <c r="D189" i="17" s="1"/>
  <c r="D193" i="17" s="1"/>
  <c r="D197" i="17" s="1"/>
  <c r="D201" i="17" s="1"/>
  <c r="D205" i="17" s="1"/>
  <c r="D209" i="17" s="1"/>
  <c r="D213" i="17" s="1"/>
  <c r="D217" i="17" s="1"/>
  <c r="D221" i="17" s="1"/>
  <c r="D225" i="17" s="1"/>
  <c r="D229" i="17" s="1"/>
  <c r="D233" i="17" s="1"/>
  <c r="D237" i="17" s="1"/>
  <c r="D241" i="17" s="1"/>
  <c r="D245" i="17" s="1"/>
  <c r="D249" i="17" s="1"/>
  <c r="D253" i="17" s="1"/>
  <c r="D257" i="17" s="1"/>
  <c r="D261" i="17" s="1"/>
  <c r="D265" i="17" s="1"/>
  <c r="D269" i="17" s="1"/>
  <c r="D273" i="17" s="1"/>
  <c r="D277" i="17" s="1"/>
  <c r="D281" i="17" s="1"/>
  <c r="D285" i="17" s="1"/>
  <c r="D12" i="17"/>
  <c r="D16" i="17" s="1"/>
  <c r="D20" i="17" s="1"/>
  <c r="D24" i="17" s="1"/>
  <c r="D28" i="17" s="1"/>
  <c r="D32" i="17" s="1"/>
  <c r="D36" i="17" s="1"/>
  <c r="D40" i="17" s="1"/>
  <c r="D44" i="17" s="1"/>
  <c r="D48" i="17" s="1"/>
  <c r="D52" i="17" s="1"/>
  <c r="D56" i="17" s="1"/>
  <c r="D60" i="17" s="1"/>
  <c r="D64" i="17" s="1"/>
  <c r="D68" i="17" s="1"/>
  <c r="D72" i="17" s="1"/>
  <c r="D76" i="17" s="1"/>
  <c r="D80" i="17" s="1"/>
  <c r="D84" i="17" s="1"/>
  <c r="D88" i="17" s="1"/>
  <c r="D92" i="17" s="1"/>
  <c r="D96" i="17" s="1"/>
  <c r="D100" i="17" s="1"/>
  <c r="D104" i="17" s="1"/>
  <c r="D108" i="17" s="1"/>
  <c r="D112" i="17" s="1"/>
  <c r="D116" i="17" s="1"/>
  <c r="D120" i="17" s="1"/>
  <c r="D124" i="17" s="1"/>
  <c r="D128" i="17" s="1"/>
  <c r="D132" i="17" s="1"/>
  <c r="D136" i="17" s="1"/>
  <c r="D140" i="17" s="1"/>
  <c r="D144" i="17" s="1"/>
  <c r="D148" i="17" s="1"/>
  <c r="D152" i="17" s="1"/>
  <c r="D156" i="17" s="1"/>
  <c r="D160" i="17" s="1"/>
  <c r="D164" i="17" s="1"/>
  <c r="D168" i="17" s="1"/>
  <c r="D172" i="17" s="1"/>
  <c r="D176" i="17" s="1"/>
  <c r="D180" i="17" s="1"/>
  <c r="D184" i="17" s="1"/>
  <c r="D188" i="17" s="1"/>
  <c r="D192" i="17" s="1"/>
  <c r="D196" i="17" s="1"/>
  <c r="D200" i="17" s="1"/>
  <c r="D204" i="17" s="1"/>
  <c r="D208" i="17" s="1"/>
  <c r="D212" i="17" s="1"/>
  <c r="D216" i="17" s="1"/>
  <c r="D220" i="17" s="1"/>
  <c r="D224" i="17" s="1"/>
  <c r="D228" i="17" s="1"/>
  <c r="D232" i="17" s="1"/>
  <c r="D236" i="17" s="1"/>
  <c r="D240" i="17" s="1"/>
  <c r="D244" i="17" s="1"/>
  <c r="D248" i="17" s="1"/>
  <c r="D252" i="17" s="1"/>
  <c r="D256" i="17" s="1"/>
  <c r="D260" i="17" s="1"/>
  <c r="D264" i="17" s="1"/>
  <c r="D268" i="17" s="1"/>
  <c r="D272" i="17" s="1"/>
  <c r="D276" i="17" s="1"/>
  <c r="D280" i="17" s="1"/>
  <c r="D284" i="17" s="1"/>
  <c r="D288" i="17" s="1"/>
  <c r="D11" i="17"/>
  <c r="D15" i="17" s="1"/>
  <c r="D19" i="17" s="1"/>
  <c r="D23" i="17" s="1"/>
  <c r="D27" i="17" s="1"/>
  <c r="D31" i="17" s="1"/>
  <c r="D35" i="17" s="1"/>
  <c r="D39" i="17" s="1"/>
  <c r="D43" i="17" s="1"/>
  <c r="D47" i="17" s="1"/>
  <c r="D51" i="17" s="1"/>
  <c r="D55" i="17" s="1"/>
  <c r="D59" i="17" s="1"/>
  <c r="D63" i="17" s="1"/>
  <c r="D67" i="17" s="1"/>
  <c r="D71" i="17" s="1"/>
  <c r="D75" i="17" s="1"/>
  <c r="D79" i="17" s="1"/>
  <c r="D83" i="17" s="1"/>
  <c r="D87" i="17" s="1"/>
  <c r="D91" i="17" s="1"/>
  <c r="D95" i="17" s="1"/>
  <c r="D99" i="17" s="1"/>
  <c r="D103" i="17" s="1"/>
  <c r="D107" i="17" s="1"/>
  <c r="D111" i="17" s="1"/>
  <c r="D115" i="17" s="1"/>
  <c r="D119" i="17" s="1"/>
  <c r="D123" i="17" s="1"/>
  <c r="D127" i="17" s="1"/>
  <c r="D131" i="17" s="1"/>
  <c r="D135" i="17" s="1"/>
  <c r="D139" i="17" s="1"/>
  <c r="D143" i="17" s="1"/>
  <c r="D147" i="17" s="1"/>
  <c r="D151" i="17" s="1"/>
  <c r="D155" i="17" s="1"/>
  <c r="D159" i="17" s="1"/>
  <c r="D163" i="17" s="1"/>
  <c r="D167" i="17" s="1"/>
  <c r="D171" i="17" s="1"/>
  <c r="D175" i="17" s="1"/>
  <c r="D179" i="17" s="1"/>
  <c r="D183" i="17" s="1"/>
  <c r="D187" i="17" s="1"/>
  <c r="D191" i="17" s="1"/>
  <c r="D195" i="17" s="1"/>
  <c r="D199" i="17" s="1"/>
  <c r="D203" i="17" s="1"/>
  <c r="D207" i="17" s="1"/>
  <c r="D211" i="17" s="1"/>
  <c r="D215" i="17" s="1"/>
  <c r="D219" i="17" s="1"/>
  <c r="D223" i="17" s="1"/>
  <c r="D227" i="17" s="1"/>
  <c r="D231" i="17" s="1"/>
  <c r="D235" i="17" s="1"/>
  <c r="D239" i="17" s="1"/>
  <c r="D243" i="17" s="1"/>
  <c r="D247" i="17" s="1"/>
  <c r="D251" i="17" s="1"/>
  <c r="D255" i="17" s="1"/>
  <c r="D259" i="17" s="1"/>
  <c r="D263" i="17" s="1"/>
  <c r="D267" i="17" s="1"/>
  <c r="D271" i="17" s="1"/>
  <c r="D275" i="17" s="1"/>
  <c r="D279" i="17" s="1"/>
  <c r="D283" i="17" s="1"/>
  <c r="D287" i="17" s="1"/>
  <c r="Q11" i="17"/>
  <c r="R15" i="17"/>
  <c r="S13" i="17"/>
  <c r="R19" i="17"/>
  <c r="AA17" i="17"/>
  <c r="AC16" i="17"/>
  <c r="Q17" i="17"/>
  <c r="S17" i="17"/>
  <c r="R14" i="17"/>
  <c r="Q13" i="17"/>
  <c r="AC18" i="17"/>
  <c r="S12" i="17"/>
  <c r="S19" i="17"/>
  <c r="R17" i="17"/>
  <c r="AB16" i="17"/>
  <c r="AA12" i="17"/>
  <c r="S15" i="17"/>
  <c r="S16" i="17"/>
  <c r="AA18" i="17"/>
  <c r="AA16" i="17"/>
  <c r="Q16" i="17"/>
  <c r="AC17" i="17"/>
  <c r="S18" i="17"/>
  <c r="Q19" i="17"/>
  <c r="Q14" i="17"/>
  <c r="AB17" i="17"/>
  <c r="Q18" i="17"/>
  <c r="AB11" i="17"/>
  <c r="R16" i="17"/>
  <c r="R12" i="17"/>
  <c r="R13" i="17"/>
  <c r="Q15" i="17"/>
  <c r="Q12" i="17"/>
  <c r="AC11" i="17"/>
  <c r="AB18" i="17"/>
  <c r="AE17" i="17" l="1"/>
  <c r="AE18" i="17"/>
  <c r="AE16" i="17"/>
  <c r="AE11" i="17"/>
  <c r="X25" i="17"/>
  <c r="X26" i="17"/>
  <c r="X19" i="17"/>
  <c r="X24" i="17"/>
  <c r="U15" i="17"/>
  <c r="U17" i="17"/>
  <c r="U12" i="17"/>
  <c r="U13" i="17"/>
  <c r="U18" i="17"/>
  <c r="U19" i="17"/>
  <c r="U16" i="17"/>
  <c r="N25" i="17"/>
  <c r="N24" i="17"/>
  <c r="N26" i="17"/>
  <c r="N27" i="17"/>
  <c r="Q23" i="17"/>
  <c r="R23" i="17"/>
  <c r="AB20" i="17"/>
  <c r="Q22" i="17"/>
  <c r="S23" i="17"/>
  <c r="S20" i="17"/>
  <c r="AC15" i="17"/>
  <c r="Q21" i="17"/>
  <c r="AA15" i="17"/>
  <c r="R20" i="17"/>
  <c r="AC20" i="17"/>
  <c r="AB22" i="17"/>
  <c r="AB21" i="17"/>
  <c r="S21" i="17"/>
  <c r="AC21" i="17"/>
  <c r="AC22" i="17"/>
  <c r="AA21" i="17"/>
  <c r="Q20" i="17"/>
  <c r="AA20" i="17"/>
  <c r="AB15" i="17"/>
  <c r="S22" i="17"/>
  <c r="R21" i="17"/>
  <c r="AA22" i="17"/>
  <c r="R22" i="17"/>
  <c r="AE22" i="17" l="1"/>
  <c r="AE21" i="17"/>
  <c r="AE20" i="17"/>
  <c r="AE15" i="17"/>
  <c r="X23" i="17"/>
  <c r="X30" i="17"/>
  <c r="X29" i="17"/>
  <c r="X28" i="17"/>
  <c r="U20" i="17"/>
  <c r="U21" i="17"/>
  <c r="U23" i="17"/>
  <c r="U22" i="17"/>
  <c r="N30" i="17"/>
  <c r="N28" i="17"/>
  <c r="N29" i="17"/>
  <c r="N31" i="17"/>
  <c r="S25" i="17"/>
  <c r="AB24" i="17"/>
  <c r="AB25" i="17"/>
  <c r="Q24" i="17"/>
  <c r="AA19" i="17"/>
  <c r="S26" i="17"/>
  <c r="S24" i="17"/>
  <c r="AA25" i="17"/>
  <c r="Q26" i="17"/>
  <c r="AC24" i="17"/>
  <c r="S27" i="17"/>
  <c r="R26" i="17"/>
  <c r="AC25" i="17"/>
  <c r="Q25" i="17"/>
  <c r="AC26" i="17"/>
  <c r="AC19" i="17"/>
  <c r="R24" i="17"/>
  <c r="Q27" i="17"/>
  <c r="AA24" i="17"/>
  <c r="R25" i="17"/>
  <c r="AB19" i="17"/>
  <c r="R27" i="17"/>
  <c r="AA26" i="17"/>
  <c r="AB26" i="17"/>
  <c r="AE25" i="17" l="1"/>
  <c r="AE26" i="17"/>
  <c r="AE24" i="17"/>
  <c r="AE19" i="17"/>
  <c r="X33" i="17"/>
  <c r="X34" i="17"/>
  <c r="X27" i="17"/>
  <c r="X32" i="17"/>
  <c r="U24" i="17"/>
  <c r="U25" i="17"/>
  <c r="U26" i="17"/>
  <c r="U27" i="17"/>
  <c r="N32" i="17"/>
  <c r="N33" i="17"/>
  <c r="N34" i="17"/>
  <c r="N35" i="17"/>
  <c r="Q29" i="17"/>
  <c r="Q31" i="17"/>
  <c r="R30" i="17"/>
  <c r="AA29" i="17"/>
  <c r="S30" i="17"/>
  <c r="AB30" i="17"/>
  <c r="AA23" i="17"/>
  <c r="S29" i="17"/>
  <c r="AC23" i="17"/>
  <c r="R28" i="17"/>
  <c r="AB28" i="17"/>
  <c r="S31" i="17"/>
  <c r="AA28" i="17"/>
  <c r="Q30" i="17"/>
  <c r="AC30" i="17"/>
  <c r="AC28" i="17"/>
  <c r="AB29" i="17"/>
  <c r="R31" i="17"/>
  <c r="AC29" i="17"/>
  <c r="AB23" i="17"/>
  <c r="Q28" i="17"/>
  <c r="AA30" i="17"/>
  <c r="S28" i="17"/>
  <c r="R29" i="17"/>
  <c r="AE23" i="17" l="1"/>
  <c r="AE30" i="17"/>
  <c r="AE29" i="17"/>
  <c r="AE28" i="17"/>
  <c r="X31" i="17"/>
  <c r="X38" i="17"/>
  <c r="X37" i="17"/>
  <c r="X36" i="17"/>
  <c r="U31" i="17"/>
  <c r="U29" i="17"/>
  <c r="U30" i="17"/>
  <c r="U28" i="17"/>
  <c r="N37" i="17"/>
  <c r="N36" i="17"/>
  <c r="N38" i="17"/>
  <c r="N39" i="17"/>
  <c r="AB32" i="17"/>
  <c r="AA33" i="17"/>
  <c r="AB27" i="17"/>
  <c r="S34" i="17"/>
  <c r="AC33" i="17"/>
  <c r="AA27" i="17"/>
  <c r="S33" i="17"/>
  <c r="AC32" i="17"/>
  <c r="AB34" i="17"/>
  <c r="R32" i="17"/>
  <c r="S35" i="17"/>
  <c r="S32" i="17"/>
  <c r="Q33" i="17"/>
  <c r="AC27" i="17"/>
  <c r="AA32" i="17"/>
  <c r="R33" i="17"/>
  <c r="AA34" i="17"/>
  <c r="Q35" i="17"/>
  <c r="R34" i="17"/>
  <c r="Q34" i="17"/>
  <c r="R35" i="17"/>
  <c r="Q32" i="17"/>
  <c r="AB33" i="17"/>
  <c r="AC34" i="17"/>
  <c r="AE34" i="17" l="1"/>
  <c r="AE33" i="17"/>
  <c r="AE27" i="17"/>
  <c r="AE32" i="17"/>
  <c r="X41" i="17"/>
  <c r="X42" i="17"/>
  <c r="X35" i="17"/>
  <c r="X40" i="17"/>
  <c r="U34" i="17"/>
  <c r="U33" i="17"/>
  <c r="U32" i="17"/>
  <c r="U35" i="17"/>
  <c r="N40" i="17"/>
  <c r="N42" i="17"/>
  <c r="N41" i="17"/>
  <c r="N43" i="17"/>
  <c r="S38" i="17"/>
  <c r="S39" i="17"/>
  <c r="S37" i="17"/>
  <c r="R39" i="17"/>
  <c r="AC36" i="17"/>
  <c r="R36" i="17"/>
  <c r="Q39" i="17"/>
  <c r="R38" i="17"/>
  <c r="AA37" i="17"/>
  <c r="Q36" i="17"/>
  <c r="AA36" i="17"/>
  <c r="AC31" i="17"/>
  <c r="S36" i="17"/>
  <c r="Q38" i="17"/>
  <c r="AB36" i="17"/>
  <c r="AB31" i="17"/>
  <c r="AC37" i="17"/>
  <c r="R37" i="17"/>
  <c r="AB37" i="17"/>
  <c r="AC38" i="17"/>
  <c r="AB38" i="17"/>
  <c r="Q37" i="17"/>
  <c r="AA31" i="17"/>
  <c r="AA38" i="17"/>
  <c r="AE31" i="17" l="1"/>
  <c r="AE38" i="17"/>
  <c r="AE37" i="17"/>
  <c r="AE36" i="17"/>
  <c r="X39" i="17"/>
  <c r="X46" i="17"/>
  <c r="X45" i="17"/>
  <c r="X44" i="17"/>
  <c r="U38" i="17"/>
  <c r="U37" i="17"/>
  <c r="U36" i="17"/>
  <c r="U39" i="17"/>
  <c r="N46" i="17"/>
  <c r="N45" i="17"/>
  <c r="N44" i="17"/>
  <c r="N47" i="17"/>
  <c r="AC40" i="17"/>
  <c r="AC35" i="17"/>
  <c r="AA40" i="17"/>
  <c r="R40" i="17"/>
  <c r="S41" i="17"/>
  <c r="Q43" i="17"/>
  <c r="AB41" i="17"/>
  <c r="AA42" i="17"/>
  <c r="S43" i="17"/>
  <c r="AA41" i="17"/>
  <c r="R43" i="17"/>
  <c r="Q42" i="17"/>
  <c r="AA35" i="17"/>
  <c r="R42" i="17"/>
  <c r="Q40" i="17"/>
  <c r="Q41" i="17"/>
  <c r="AB42" i="17"/>
  <c r="S40" i="17"/>
  <c r="AC42" i="17"/>
  <c r="AB40" i="17"/>
  <c r="AC41" i="17"/>
  <c r="AB35" i="17"/>
  <c r="R41" i="17"/>
  <c r="S42" i="17"/>
  <c r="AE41" i="17" l="1"/>
  <c r="AE42" i="17"/>
  <c r="AE35" i="17"/>
  <c r="AE40" i="17"/>
  <c r="X43" i="17"/>
  <c r="X49" i="17"/>
  <c r="X50" i="17"/>
  <c r="X48" i="17"/>
  <c r="U42" i="17"/>
  <c r="U41" i="17"/>
  <c r="U40" i="17"/>
  <c r="U43" i="17"/>
  <c r="N48" i="17"/>
  <c r="N49" i="17"/>
  <c r="N50" i="17"/>
  <c r="N51" i="17"/>
  <c r="AB44" i="17"/>
  <c r="AC39" i="17"/>
  <c r="R45" i="17"/>
  <c r="AA44" i="17"/>
  <c r="AB45" i="17"/>
  <c r="S45" i="17"/>
  <c r="Q47" i="17"/>
  <c r="AB39" i="17"/>
  <c r="S46" i="17"/>
  <c r="S44" i="17"/>
  <c r="Q44" i="17"/>
  <c r="R44" i="17"/>
  <c r="Q46" i="17"/>
  <c r="AC45" i="17"/>
  <c r="AC46" i="17"/>
  <c r="AA39" i="17"/>
  <c r="S47" i="17"/>
  <c r="Q45" i="17"/>
  <c r="R46" i="17"/>
  <c r="AB46" i="17"/>
  <c r="AA45" i="17"/>
  <c r="R47" i="17"/>
  <c r="AA46" i="17"/>
  <c r="AC44" i="17"/>
  <c r="AE46" i="17" l="1"/>
  <c r="AE45" i="17"/>
  <c r="AE39" i="17"/>
  <c r="AE44" i="17"/>
  <c r="X53" i="17"/>
  <c r="X54" i="17"/>
  <c r="X47" i="17"/>
  <c r="X52" i="17"/>
  <c r="U45" i="17"/>
  <c r="U44" i="17"/>
  <c r="U46" i="17"/>
  <c r="U47" i="17"/>
  <c r="N54" i="17"/>
  <c r="N55" i="17"/>
  <c r="N52" i="17"/>
  <c r="N53" i="17"/>
  <c r="AC43" i="17"/>
  <c r="AB50" i="17"/>
  <c r="R49" i="17"/>
  <c r="AC49" i="17"/>
  <c r="R50" i="17"/>
  <c r="Q48" i="17"/>
  <c r="Q51" i="17"/>
  <c r="Q49" i="17"/>
  <c r="R48" i="17"/>
  <c r="R51" i="17"/>
  <c r="AC48" i="17"/>
  <c r="AB43" i="17"/>
  <c r="S51" i="17"/>
  <c r="AA48" i="17"/>
  <c r="AC50" i="17"/>
  <c r="Q50" i="17"/>
  <c r="S48" i="17"/>
  <c r="S49" i="17"/>
  <c r="AB49" i="17"/>
  <c r="AA50" i="17"/>
  <c r="AA49" i="17"/>
  <c r="S50" i="17"/>
  <c r="AA43" i="17"/>
  <c r="AB48" i="17"/>
  <c r="AE50" i="17" l="1"/>
  <c r="AE49" i="17"/>
  <c r="AE43" i="17"/>
  <c r="AE48" i="17"/>
  <c r="X51" i="17"/>
  <c r="X57" i="17"/>
  <c r="X58" i="17"/>
  <c r="X56" i="17"/>
  <c r="U51" i="17"/>
  <c r="U50" i="17"/>
  <c r="U49" i="17"/>
  <c r="U48" i="17"/>
  <c r="N57" i="17"/>
  <c r="N59" i="17"/>
  <c r="N58" i="17"/>
  <c r="N56" i="17"/>
  <c r="AB47" i="17"/>
  <c r="AA47" i="17"/>
  <c r="Q52" i="17"/>
  <c r="AB52" i="17"/>
  <c r="S55" i="17"/>
  <c r="AC52" i="17"/>
  <c r="R52" i="17"/>
  <c r="R53" i="17"/>
  <c r="AA54" i="17"/>
  <c r="AA52" i="17"/>
  <c r="R55" i="17"/>
  <c r="AC53" i="17"/>
  <c r="AB53" i="17"/>
  <c r="AA53" i="17"/>
  <c r="R54" i="17"/>
  <c r="S54" i="17"/>
  <c r="Q55" i="17"/>
  <c r="AB54" i="17"/>
  <c r="AC54" i="17"/>
  <c r="S53" i="17"/>
  <c r="S52" i="17"/>
  <c r="Q54" i="17"/>
  <c r="Q53" i="17"/>
  <c r="AC47" i="17"/>
  <c r="AE53" i="17" l="1"/>
  <c r="AE54" i="17"/>
  <c r="AE47" i="17"/>
  <c r="AE52" i="17"/>
  <c r="X61" i="17"/>
  <c r="X55" i="17"/>
  <c r="X62" i="17"/>
  <c r="X60" i="17"/>
  <c r="U54" i="17"/>
  <c r="U52" i="17"/>
  <c r="U53" i="17"/>
  <c r="U55" i="17"/>
  <c r="N61" i="17"/>
  <c r="N62" i="17"/>
  <c r="N63" i="17"/>
  <c r="N60" i="17"/>
  <c r="S58" i="17"/>
  <c r="S56" i="17"/>
  <c r="AB51" i="17"/>
  <c r="Q58" i="17"/>
  <c r="AA56" i="17"/>
  <c r="R58" i="17"/>
  <c r="S57" i="17"/>
  <c r="AB56" i="17"/>
  <c r="AC58" i="17"/>
  <c r="AB58" i="17"/>
  <c r="Q56" i="17"/>
  <c r="Q59" i="17"/>
  <c r="AA57" i="17"/>
  <c r="AC56" i="17"/>
  <c r="AA51" i="17"/>
  <c r="R56" i="17"/>
  <c r="AB57" i="17"/>
  <c r="AA58" i="17"/>
  <c r="AC51" i="17"/>
  <c r="S59" i="17"/>
  <c r="Q57" i="17"/>
  <c r="R59" i="17"/>
  <c r="AC57" i="17"/>
  <c r="R57" i="17"/>
  <c r="AE51" i="17" l="1"/>
  <c r="AE57" i="17"/>
  <c r="AE58" i="17"/>
  <c r="AE56" i="17"/>
  <c r="X66" i="17"/>
  <c r="X59" i="17"/>
  <c r="X65" i="17"/>
  <c r="X64" i="17"/>
  <c r="U59" i="17"/>
  <c r="U56" i="17"/>
  <c r="U57" i="17"/>
  <c r="U58" i="17"/>
  <c r="N67" i="17"/>
  <c r="N66" i="17"/>
  <c r="N65" i="17"/>
  <c r="N64" i="17"/>
  <c r="Q60" i="17"/>
  <c r="S61" i="17"/>
  <c r="S62" i="17"/>
  <c r="AC61" i="17"/>
  <c r="R62" i="17"/>
  <c r="R60" i="17"/>
  <c r="AB55" i="17"/>
  <c r="Q62" i="17"/>
  <c r="R63" i="17"/>
  <c r="AB62" i="17"/>
  <c r="R61" i="17"/>
  <c r="AA55" i="17"/>
  <c r="AA62" i="17"/>
  <c r="AB61" i="17"/>
  <c r="Q61" i="17"/>
  <c r="S60" i="17"/>
  <c r="AC62" i="17"/>
  <c r="AA60" i="17"/>
  <c r="AC55" i="17"/>
  <c r="Q63" i="17"/>
  <c r="AC60" i="17"/>
  <c r="AA61" i="17"/>
  <c r="AB60" i="17"/>
  <c r="S63" i="17"/>
  <c r="AE61" i="17" l="1"/>
  <c r="AE62" i="17"/>
  <c r="AE55" i="17"/>
  <c r="AE60" i="17"/>
  <c r="X69" i="17"/>
  <c r="X63" i="17"/>
  <c r="X70" i="17"/>
  <c r="X68" i="17"/>
  <c r="U61" i="17"/>
  <c r="U62" i="17"/>
  <c r="U63" i="17"/>
  <c r="U60" i="17"/>
  <c r="N69" i="17"/>
  <c r="N70" i="17"/>
  <c r="N71" i="17"/>
  <c r="N68" i="17"/>
  <c r="AB65" i="17"/>
  <c r="AC66" i="17"/>
  <c r="S67" i="17"/>
  <c r="AA66" i="17"/>
  <c r="AC64" i="17"/>
  <c r="Q64" i="17"/>
  <c r="S65" i="17"/>
  <c r="AC65" i="17"/>
  <c r="S64" i="17"/>
  <c r="AB64" i="17"/>
  <c r="AC59" i="17"/>
  <c r="Q67" i="17"/>
  <c r="R66" i="17"/>
  <c r="AA64" i="17"/>
  <c r="R65" i="17"/>
  <c r="AB66" i="17"/>
  <c r="AA59" i="17"/>
  <c r="Q65" i="17"/>
  <c r="R64" i="17"/>
  <c r="AB59" i="17"/>
  <c r="R67" i="17"/>
  <c r="AA65" i="17"/>
  <c r="S66" i="17"/>
  <c r="Q66" i="17"/>
  <c r="AE66" i="17" l="1"/>
  <c r="AE65" i="17"/>
  <c r="AE64" i="17"/>
  <c r="AE59" i="17"/>
  <c r="X74" i="17"/>
  <c r="X67" i="17"/>
  <c r="X73" i="17"/>
  <c r="X72" i="17"/>
  <c r="U66" i="17"/>
  <c r="U65" i="17"/>
  <c r="U64" i="17"/>
  <c r="U67" i="17"/>
  <c r="N75" i="17"/>
  <c r="N73" i="17"/>
  <c r="N74" i="17"/>
  <c r="N72" i="17"/>
  <c r="AB70" i="17"/>
  <c r="AC69" i="17"/>
  <c r="S69" i="17"/>
  <c r="AA70" i="17"/>
  <c r="AC70" i="17"/>
  <c r="AB68" i="17"/>
  <c r="AB69" i="17"/>
  <c r="AB63" i="17"/>
  <c r="S68" i="17"/>
  <c r="AC63" i="17"/>
  <c r="AC68" i="17"/>
  <c r="R71" i="17"/>
  <c r="Q68" i="17"/>
  <c r="S71" i="17"/>
  <c r="R68" i="17"/>
  <c r="AA63" i="17"/>
  <c r="Q71" i="17"/>
  <c r="S70" i="17"/>
  <c r="AA69" i="17"/>
  <c r="AA68" i="17"/>
  <c r="Q70" i="17"/>
  <c r="R69" i="17"/>
  <c r="R70" i="17"/>
  <c r="Q69" i="17"/>
  <c r="AE63" i="17" l="1"/>
  <c r="AE69" i="17"/>
  <c r="AE70" i="17"/>
  <c r="AE68" i="17"/>
  <c r="X71" i="17"/>
  <c r="X78" i="17"/>
  <c r="X77" i="17"/>
  <c r="X76" i="17"/>
  <c r="U70" i="17"/>
  <c r="U71" i="17"/>
  <c r="U69" i="17"/>
  <c r="U68" i="17"/>
  <c r="N78" i="17"/>
  <c r="N79" i="17"/>
  <c r="N77" i="17"/>
  <c r="N76" i="17"/>
  <c r="AB74" i="17"/>
  <c r="AB73" i="17"/>
  <c r="R75" i="17"/>
  <c r="Q75" i="17"/>
  <c r="R72" i="17"/>
  <c r="AA67" i="17"/>
  <c r="AA74" i="17"/>
  <c r="AA72" i="17"/>
  <c r="AA73" i="17"/>
  <c r="AB67" i="17"/>
  <c r="AC73" i="17"/>
  <c r="R74" i="17"/>
  <c r="AC74" i="17"/>
  <c r="AC72" i="17"/>
  <c r="Q74" i="17"/>
  <c r="S72" i="17"/>
  <c r="R73" i="17"/>
  <c r="Q72" i="17"/>
  <c r="AC67" i="17"/>
  <c r="S73" i="17"/>
  <c r="AB72" i="17"/>
  <c r="S75" i="17"/>
  <c r="S74" i="17"/>
  <c r="Q73" i="17"/>
  <c r="AE73" i="17" l="1"/>
  <c r="AE67" i="17"/>
  <c r="AE74" i="17"/>
  <c r="AE72" i="17"/>
  <c r="X75" i="17"/>
  <c r="X81" i="17"/>
  <c r="X82" i="17"/>
  <c r="X80" i="17"/>
  <c r="U74" i="17"/>
  <c r="U75" i="17"/>
  <c r="U73" i="17"/>
  <c r="U72" i="17"/>
  <c r="N81" i="17"/>
  <c r="N82" i="17"/>
  <c r="N83" i="17"/>
  <c r="N80" i="17"/>
  <c r="AA78" i="17"/>
  <c r="AB77" i="17"/>
  <c r="S77" i="17"/>
  <c r="R76" i="17"/>
  <c r="S79" i="17"/>
  <c r="AB71" i="17"/>
  <c r="S76" i="17"/>
  <c r="AA76" i="17"/>
  <c r="R78" i="17"/>
  <c r="AB78" i="17"/>
  <c r="Q78" i="17"/>
  <c r="AA71" i="17"/>
  <c r="S78" i="17"/>
  <c r="R77" i="17"/>
  <c r="AC71" i="17"/>
  <c r="AB76" i="17"/>
  <c r="R79" i="17"/>
  <c r="AC76" i="17"/>
  <c r="Q77" i="17"/>
  <c r="AC77" i="17"/>
  <c r="AA77" i="17"/>
  <c r="AC78" i="17"/>
  <c r="Q79" i="17"/>
  <c r="Q76" i="17"/>
  <c r="AE77" i="17" l="1"/>
  <c r="AE71" i="17"/>
  <c r="AE78" i="17"/>
  <c r="AE76" i="17"/>
  <c r="X86" i="17"/>
  <c r="X85" i="17"/>
  <c r="X79" i="17"/>
  <c r="X84" i="17"/>
  <c r="U77" i="17"/>
  <c r="U79" i="17"/>
  <c r="U78" i="17"/>
  <c r="U76" i="17"/>
  <c r="N87" i="17"/>
  <c r="N86" i="17"/>
  <c r="N85" i="17"/>
  <c r="N84" i="17"/>
  <c r="AB80" i="17"/>
  <c r="AB82" i="17"/>
  <c r="Q82" i="17"/>
  <c r="AC81" i="17"/>
  <c r="R83" i="17"/>
  <c r="S80" i="17"/>
  <c r="R81" i="17"/>
  <c r="AA75" i="17"/>
  <c r="S82" i="17"/>
  <c r="S81" i="17"/>
  <c r="AC82" i="17"/>
  <c r="AC75" i="17"/>
  <c r="Q81" i="17"/>
  <c r="AB81" i="17"/>
  <c r="AC80" i="17"/>
  <c r="S83" i="17"/>
  <c r="AA80" i="17"/>
  <c r="R80" i="17"/>
  <c r="AA81" i="17"/>
  <c r="R82" i="17"/>
  <c r="Q80" i="17"/>
  <c r="AB75" i="17"/>
  <c r="AA82" i="17"/>
  <c r="Q83" i="17"/>
  <c r="AE81" i="17" l="1"/>
  <c r="AE82" i="17"/>
  <c r="AE75" i="17"/>
  <c r="AE80" i="17"/>
  <c r="X89" i="17"/>
  <c r="X90" i="17"/>
  <c r="X83" i="17"/>
  <c r="X88" i="17"/>
  <c r="U82" i="17"/>
  <c r="U83" i="17"/>
  <c r="U81" i="17"/>
  <c r="U80" i="17"/>
  <c r="N90" i="17"/>
  <c r="N91" i="17"/>
  <c r="N89" i="17"/>
  <c r="N8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C44" i="14"/>
  <c r="AJ38" i="17" s="1"/>
  <c r="C43" i="14"/>
  <c r="AJ37" i="17" s="1"/>
  <c r="C42" i="14"/>
  <c r="AJ36" i="17" s="1"/>
  <c r="C41" i="14"/>
  <c r="AJ35" i="17" s="1"/>
  <c r="C40" i="14"/>
  <c r="AJ34" i="17" s="1"/>
  <c r="C39" i="14"/>
  <c r="AJ33" i="17" s="1"/>
  <c r="C38" i="14"/>
  <c r="AJ32" i="17" s="1"/>
  <c r="C37" i="14"/>
  <c r="AJ31" i="17" s="1"/>
  <c r="C36" i="14"/>
  <c r="AJ30" i="17" s="1"/>
  <c r="C35" i="14"/>
  <c r="AJ29" i="17" s="1"/>
  <c r="C34" i="14"/>
  <c r="AJ28" i="17" s="1"/>
  <c r="C33" i="14"/>
  <c r="AJ27" i="17" s="1"/>
  <c r="C32" i="14"/>
  <c r="AJ26" i="17" s="1"/>
  <c r="C31" i="14"/>
  <c r="AJ25" i="17" s="1"/>
  <c r="C30" i="14"/>
  <c r="AJ24" i="17" s="1"/>
  <c r="C29" i="14"/>
  <c r="AJ23" i="17" s="1"/>
  <c r="C28" i="14"/>
  <c r="AJ22" i="17" s="1"/>
  <c r="C27" i="14"/>
  <c r="AJ21" i="17" s="1"/>
  <c r="C26" i="14"/>
  <c r="AJ20" i="17" s="1"/>
  <c r="C25" i="14"/>
  <c r="AJ19" i="17" s="1"/>
  <c r="C24" i="14"/>
  <c r="AJ18" i="17" s="1"/>
  <c r="C23" i="14"/>
  <c r="AJ17" i="17" s="1"/>
  <c r="C22" i="14"/>
  <c r="AJ16" i="17" s="1"/>
  <c r="C21" i="14"/>
  <c r="AJ15" i="17" s="1"/>
  <c r="C20" i="14"/>
  <c r="AJ14" i="17" s="1"/>
  <c r="C19" i="14"/>
  <c r="AJ13" i="17" s="1"/>
  <c r="C18" i="14"/>
  <c r="AJ12" i="17" s="1"/>
  <c r="C17" i="14"/>
  <c r="AJ11" i="17" s="1"/>
  <c r="C16" i="14"/>
  <c r="AJ10" i="17" s="1"/>
  <c r="C15" i="14"/>
  <c r="AJ9" i="17" s="1"/>
  <c r="C14" i="14"/>
  <c r="AJ8" i="17" s="1"/>
  <c r="C13" i="14"/>
  <c r="AJ7" i="17" s="1"/>
  <c r="D54" i="16"/>
  <c r="E54" i="16" s="1"/>
  <c r="D53" i="16"/>
  <c r="E53" i="16" s="1"/>
  <c r="D52" i="16"/>
  <c r="E52" i="16" s="1"/>
  <c r="D51" i="16"/>
  <c r="E51" i="16" s="1"/>
  <c r="D50" i="16"/>
  <c r="E50" i="16" s="1"/>
  <c r="D49" i="16"/>
  <c r="E49" i="16" s="1"/>
  <c r="D48" i="16"/>
  <c r="E48" i="16" s="1"/>
  <c r="D47" i="16"/>
  <c r="E47" i="16" s="1"/>
  <c r="D46" i="16"/>
  <c r="E46" i="16" s="1"/>
  <c r="D45" i="16"/>
  <c r="E45" i="16" s="1"/>
  <c r="D44" i="16"/>
  <c r="E44" i="16" s="1"/>
  <c r="D43" i="16"/>
  <c r="E43" i="16" s="1"/>
  <c r="D42" i="16"/>
  <c r="E42" i="16" s="1"/>
  <c r="D41" i="16"/>
  <c r="E41" i="16" s="1"/>
  <c r="D40" i="16"/>
  <c r="E40" i="16" s="1"/>
  <c r="D39" i="16"/>
  <c r="E39" i="16" s="1"/>
  <c r="D38" i="16"/>
  <c r="D37" i="16"/>
  <c r="E37" i="16" s="1"/>
  <c r="D36" i="16"/>
  <c r="E36" i="16" s="1"/>
  <c r="D35" i="16"/>
  <c r="E35" i="16" s="1"/>
  <c r="D34" i="16"/>
  <c r="E34" i="16" s="1"/>
  <c r="D33" i="16"/>
  <c r="E33" i="16" s="1"/>
  <c r="D32" i="16"/>
  <c r="E32" i="16" s="1"/>
  <c r="D31" i="16"/>
  <c r="E31" i="16" s="1"/>
  <c r="D30" i="16"/>
  <c r="E30" i="16" s="1"/>
  <c r="D29" i="16"/>
  <c r="E29" i="16" s="1"/>
  <c r="D28" i="16"/>
  <c r="E28" i="16" s="1"/>
  <c r="D27" i="16"/>
  <c r="E27" i="16" s="1"/>
  <c r="D26" i="16"/>
  <c r="E26" i="16" s="1"/>
  <c r="D25" i="16"/>
  <c r="E25" i="16" s="1"/>
  <c r="D24" i="16"/>
  <c r="E24" i="16" s="1"/>
  <c r="I274" i="17"/>
  <c r="H139" i="17"/>
  <c r="I193" i="17"/>
  <c r="H205" i="17"/>
  <c r="G59" i="17"/>
  <c r="G90" i="17"/>
  <c r="I211" i="17"/>
  <c r="G110" i="17"/>
  <c r="G34" i="17"/>
  <c r="H243" i="17"/>
  <c r="H151" i="17"/>
  <c r="H127" i="17"/>
  <c r="I68" i="17"/>
  <c r="G216" i="17"/>
  <c r="G117" i="17"/>
  <c r="H194" i="17"/>
  <c r="H242" i="17"/>
  <c r="G145" i="17"/>
  <c r="G188" i="17"/>
  <c r="G104" i="17"/>
  <c r="G136" i="17"/>
  <c r="I261" i="17"/>
  <c r="G9" i="17"/>
  <c r="H154" i="17"/>
  <c r="G217" i="17"/>
  <c r="G31" i="17"/>
  <c r="G150" i="17"/>
  <c r="H117" i="17"/>
  <c r="H238" i="17"/>
  <c r="I278" i="17"/>
  <c r="G36" i="17"/>
  <c r="I219" i="17"/>
  <c r="G132" i="17"/>
  <c r="H278" i="17"/>
  <c r="I183" i="17"/>
  <c r="H258" i="17"/>
  <c r="I131" i="17"/>
  <c r="H129" i="17"/>
  <c r="H12" i="17"/>
  <c r="G119" i="17"/>
  <c r="H176" i="17"/>
  <c r="G102" i="17"/>
  <c r="I206" i="17"/>
  <c r="G75" i="17"/>
  <c r="G135" i="17"/>
  <c r="I7" i="17"/>
  <c r="I200" i="17"/>
  <c r="G281" i="17"/>
  <c r="G245" i="17"/>
  <c r="AC86" i="17"/>
  <c r="G42" i="17"/>
  <c r="AA85" i="17"/>
  <c r="I255" i="17"/>
  <c r="I123" i="17"/>
  <c r="I260" i="17"/>
  <c r="AC84" i="17"/>
  <c r="H158" i="17"/>
  <c r="I71" i="17"/>
  <c r="G211" i="17"/>
  <c r="I168" i="17"/>
  <c r="G129" i="17"/>
  <c r="I232" i="17"/>
  <c r="I105" i="17"/>
  <c r="H265" i="17"/>
  <c r="G273" i="17"/>
  <c r="I202" i="17"/>
  <c r="I192" i="17"/>
  <c r="G258" i="17"/>
  <c r="G162" i="17"/>
  <c r="G153" i="17"/>
  <c r="I245" i="17"/>
  <c r="H260" i="17"/>
  <c r="H252" i="17"/>
  <c r="I139" i="17"/>
  <c r="I12" i="17"/>
  <c r="H197" i="17"/>
  <c r="H104" i="17"/>
  <c r="H199" i="17"/>
  <c r="I223" i="17"/>
  <c r="I117" i="17"/>
  <c r="G61" i="17"/>
  <c r="I166" i="17"/>
  <c r="I121" i="17"/>
  <c r="G259" i="17"/>
  <c r="I112" i="17"/>
  <c r="H131" i="17"/>
  <c r="I171" i="17"/>
  <c r="G168" i="17"/>
  <c r="H121" i="17"/>
  <c r="G16" i="17"/>
  <c r="G276" i="17"/>
  <c r="I146" i="17"/>
  <c r="H207" i="17"/>
  <c r="I281" i="17"/>
  <c r="H255" i="17"/>
  <c r="G85" i="17"/>
  <c r="G89" i="17"/>
  <c r="H264" i="17"/>
  <c r="I159" i="17"/>
  <c r="G151" i="17"/>
  <c r="H186" i="17"/>
  <c r="G268" i="17"/>
  <c r="H160" i="17"/>
  <c r="H220" i="17"/>
  <c r="I233" i="17"/>
  <c r="I222" i="17"/>
  <c r="H156" i="17"/>
  <c r="G157" i="17"/>
  <c r="H128" i="17"/>
  <c r="H201" i="17"/>
  <c r="H168" i="17"/>
  <c r="G73" i="17"/>
  <c r="I161" i="17"/>
  <c r="G227" i="17"/>
  <c r="I179" i="17"/>
  <c r="I279" i="17"/>
  <c r="G134" i="17"/>
  <c r="G149" i="17"/>
  <c r="G77" i="17"/>
  <c r="I288" i="17"/>
  <c r="G235" i="17"/>
  <c r="AB84" i="17"/>
  <c r="H145" i="17"/>
  <c r="I151" i="17"/>
  <c r="I111" i="17"/>
  <c r="G190" i="17"/>
  <c r="I276" i="17"/>
  <c r="I148" i="17"/>
  <c r="H73" i="17"/>
  <c r="G257" i="17"/>
  <c r="H281" i="17"/>
  <c r="H230" i="17"/>
  <c r="G126" i="17"/>
  <c r="I195" i="17"/>
  <c r="I262" i="17"/>
  <c r="H286" i="17"/>
  <c r="I135" i="17"/>
  <c r="H167" i="17"/>
  <c r="G195" i="17"/>
  <c r="I147" i="17"/>
  <c r="G107" i="17"/>
  <c r="G13" i="17"/>
  <c r="I170" i="17"/>
  <c r="I18" i="17"/>
  <c r="H223" i="17"/>
  <c r="H231" i="17"/>
  <c r="G252" i="17"/>
  <c r="G229" i="17"/>
  <c r="G288" i="17"/>
  <c r="H262" i="17"/>
  <c r="H125" i="17"/>
  <c r="I154" i="17"/>
  <c r="G269" i="17"/>
  <c r="G156" i="17"/>
  <c r="I143" i="17"/>
  <c r="G80" i="17"/>
  <c r="I8" i="17"/>
  <c r="I174" i="17"/>
  <c r="H184" i="17"/>
  <c r="I13" i="17"/>
  <c r="G275" i="17"/>
  <c r="G239" i="17"/>
  <c r="G197" i="17"/>
  <c r="G87" i="17"/>
  <c r="H72" i="17"/>
  <c r="I285" i="17"/>
  <c r="I271" i="17"/>
  <c r="H134" i="17"/>
  <c r="I198" i="17"/>
  <c r="I246" i="17"/>
  <c r="I122" i="17"/>
  <c r="G232" i="17"/>
  <c r="I128" i="17"/>
  <c r="AA84" i="17"/>
  <c r="I110" i="17"/>
  <c r="H236" i="17"/>
  <c r="H166" i="17"/>
  <c r="G183" i="17"/>
  <c r="G167" i="17"/>
  <c r="G231" i="17"/>
  <c r="G223" i="17"/>
  <c r="H229" i="17"/>
  <c r="G8" i="17"/>
  <c r="G112" i="17"/>
  <c r="I104" i="17"/>
  <c r="G204" i="17"/>
  <c r="G93" i="17"/>
  <c r="G286" i="17"/>
  <c r="G133" i="17"/>
  <c r="G79" i="17"/>
  <c r="G178" i="17"/>
  <c r="H141" i="17"/>
  <c r="G192" i="17"/>
  <c r="I240" i="17"/>
  <c r="G254" i="17"/>
  <c r="AC85" i="17"/>
  <c r="G17" i="17"/>
  <c r="G181" i="17"/>
  <c r="G205" i="17"/>
  <c r="G7" i="17"/>
  <c r="H130" i="17"/>
  <c r="I107" i="17"/>
  <c r="G18" i="17"/>
  <c r="G10" i="17"/>
  <c r="I155" i="17"/>
  <c r="H272" i="17"/>
  <c r="G251" i="17"/>
  <c r="I224" i="17"/>
  <c r="G96" i="17"/>
  <c r="I190" i="17"/>
  <c r="I252" i="17"/>
  <c r="H195" i="17"/>
  <c r="H256" i="17"/>
  <c r="I120" i="17"/>
  <c r="H148" i="17"/>
  <c r="G54" i="17"/>
  <c r="G15" i="17"/>
  <c r="I248" i="17"/>
  <c r="H202" i="17"/>
  <c r="G94" i="17"/>
  <c r="H234" i="17"/>
  <c r="I284" i="17"/>
  <c r="I201" i="17"/>
  <c r="G260" i="17"/>
  <c r="G147" i="17"/>
  <c r="H7" i="17"/>
  <c r="I149" i="17"/>
  <c r="H276" i="17"/>
  <c r="G125" i="17"/>
  <c r="I78" i="17"/>
  <c r="H178" i="17"/>
  <c r="G23" i="17"/>
  <c r="I164" i="17"/>
  <c r="G255" i="17"/>
  <c r="H10" i="17"/>
  <c r="AB85" i="17"/>
  <c r="I130" i="17"/>
  <c r="G171" i="17"/>
  <c r="H152" i="17"/>
  <c r="H267" i="17"/>
  <c r="I115" i="17"/>
  <c r="G30" i="17"/>
  <c r="G70" i="17"/>
  <c r="I144" i="17"/>
  <c r="I124" i="17"/>
  <c r="H133" i="17"/>
  <c r="G199" i="17"/>
  <c r="G56" i="17"/>
  <c r="G212" i="17"/>
  <c r="I213" i="17"/>
  <c r="H269" i="17"/>
  <c r="H153" i="17"/>
  <c r="I217" i="17"/>
  <c r="I197" i="17"/>
  <c r="H196" i="17"/>
  <c r="H169" i="17"/>
  <c r="G271" i="17"/>
  <c r="H112" i="17"/>
  <c r="H263" i="17"/>
  <c r="H216" i="17"/>
  <c r="H163" i="17"/>
  <c r="I178" i="17"/>
  <c r="G95" i="17"/>
  <c r="G84" i="17"/>
  <c r="G26" i="17"/>
  <c r="H241" i="17"/>
  <c r="H232" i="17"/>
  <c r="I242" i="17"/>
  <c r="G278" i="17"/>
  <c r="G250" i="17"/>
  <c r="H250" i="17"/>
  <c r="G24" i="17"/>
  <c r="I153" i="17"/>
  <c r="R85" i="17"/>
  <c r="G28" i="17"/>
  <c r="G285" i="17"/>
  <c r="I204" i="17"/>
  <c r="G280" i="17"/>
  <c r="I138" i="17"/>
  <c r="G67" i="17"/>
  <c r="AA79" i="17"/>
  <c r="G111" i="17"/>
  <c r="H279" i="17"/>
  <c r="G43" i="17"/>
  <c r="H143" i="17"/>
  <c r="G140" i="17"/>
  <c r="I187" i="17"/>
  <c r="G69" i="17"/>
  <c r="H285" i="17"/>
  <c r="G108" i="17"/>
  <c r="I239" i="17"/>
  <c r="G213" i="17"/>
  <c r="G137" i="17"/>
  <c r="H124" i="17"/>
  <c r="I118" i="17"/>
  <c r="I109" i="17"/>
  <c r="G247" i="17"/>
  <c r="S87" i="17"/>
  <c r="H275" i="17"/>
  <c r="H233" i="17"/>
  <c r="G179" i="17"/>
  <c r="I140" i="17"/>
  <c r="I113" i="17"/>
  <c r="H284" i="17"/>
  <c r="G124" i="17"/>
  <c r="G169" i="17"/>
  <c r="G236" i="17"/>
  <c r="H126" i="17"/>
  <c r="G277" i="17"/>
  <c r="I162" i="17"/>
  <c r="I238" i="17"/>
  <c r="I188" i="17"/>
  <c r="I212" i="17"/>
  <c r="G101" i="17"/>
  <c r="G58" i="17"/>
  <c r="H165" i="17"/>
  <c r="G44" i="17"/>
  <c r="G176" i="17"/>
  <c r="G272" i="17"/>
  <c r="I264" i="17"/>
  <c r="G174" i="17"/>
  <c r="I282" i="17"/>
  <c r="G180" i="17"/>
  <c r="H182" i="17"/>
  <c r="H113" i="17"/>
  <c r="G148" i="17"/>
  <c r="H170" i="17"/>
  <c r="I225" i="17"/>
  <c r="I266" i="17"/>
  <c r="G246" i="17"/>
  <c r="G279" i="17"/>
  <c r="G208" i="17"/>
  <c r="G82" i="17"/>
  <c r="H271" i="17"/>
  <c r="G45" i="17"/>
  <c r="G78" i="17"/>
  <c r="G242" i="17"/>
  <c r="H138" i="17"/>
  <c r="H161" i="17"/>
  <c r="H111" i="17"/>
  <c r="H237" i="17"/>
  <c r="G222" i="17"/>
  <c r="I250" i="17"/>
  <c r="H115" i="17"/>
  <c r="I158" i="17"/>
  <c r="I247" i="17"/>
  <c r="G154" i="17"/>
  <c r="H218" i="17"/>
  <c r="I226" i="17"/>
  <c r="H172" i="17"/>
  <c r="H116" i="17"/>
  <c r="AB79" i="17"/>
  <c r="I173" i="17"/>
  <c r="G220" i="17"/>
  <c r="G193" i="17"/>
  <c r="I234" i="17"/>
  <c r="H213" i="17"/>
  <c r="G219" i="17"/>
  <c r="G27" i="17"/>
  <c r="I156" i="17"/>
  <c r="G39" i="17"/>
  <c r="I207" i="17"/>
  <c r="I273" i="17"/>
  <c r="G233" i="17"/>
  <c r="G196" i="17"/>
  <c r="H217" i="17"/>
  <c r="I177" i="17"/>
  <c r="G224" i="17"/>
  <c r="Q84" i="17"/>
  <c r="H193" i="17"/>
  <c r="G170" i="17"/>
  <c r="I231" i="17"/>
  <c r="I272" i="17"/>
  <c r="G25" i="17"/>
  <c r="I127" i="17"/>
  <c r="I229" i="17"/>
  <c r="G214" i="17"/>
  <c r="G248" i="17"/>
  <c r="H110" i="17"/>
  <c r="G264" i="17"/>
  <c r="G91" i="17"/>
  <c r="H118" i="17"/>
  <c r="G270" i="17"/>
  <c r="I69" i="17"/>
  <c r="I160" i="17"/>
  <c r="G105" i="17"/>
  <c r="G186" i="17"/>
  <c r="G19" i="17"/>
  <c r="I256" i="17"/>
  <c r="G228" i="17"/>
  <c r="G74" i="17"/>
  <c r="H259" i="17"/>
  <c r="H183" i="17"/>
  <c r="I74" i="17"/>
  <c r="G172" i="17"/>
  <c r="G98" i="17"/>
  <c r="H274" i="17"/>
  <c r="G138" i="17"/>
  <c r="I169" i="17"/>
  <c r="G49" i="17"/>
  <c r="H198" i="17"/>
  <c r="H283" i="17"/>
  <c r="I216" i="17"/>
  <c r="H248" i="17"/>
  <c r="H280" i="17"/>
  <c r="G284" i="17"/>
  <c r="G237" i="17"/>
  <c r="G177" i="17"/>
  <c r="G128" i="17"/>
  <c r="I227" i="17"/>
  <c r="I244" i="17"/>
  <c r="I157" i="17"/>
  <c r="I283" i="17"/>
  <c r="H206" i="17"/>
  <c r="G263" i="17"/>
  <c r="H251" i="17"/>
  <c r="H144" i="17"/>
  <c r="H215" i="17"/>
  <c r="I275" i="17"/>
  <c r="H245" i="17"/>
  <c r="G68" i="17"/>
  <c r="H189" i="17"/>
  <c r="I116" i="17"/>
  <c r="H140" i="17"/>
  <c r="H235" i="17"/>
  <c r="G76" i="17"/>
  <c r="G241" i="17"/>
  <c r="H174" i="17"/>
  <c r="G155" i="17"/>
  <c r="G159" i="17"/>
  <c r="G173" i="17"/>
  <c r="I132" i="17"/>
  <c r="G12" i="17"/>
  <c r="I236" i="17"/>
  <c r="I76" i="17"/>
  <c r="R86" i="17"/>
  <c r="G64" i="17"/>
  <c r="I287" i="17"/>
  <c r="I230" i="17"/>
  <c r="H208" i="17"/>
  <c r="I152" i="17"/>
  <c r="G144" i="17"/>
  <c r="H132" i="17"/>
  <c r="G106" i="17"/>
  <c r="H119" i="17"/>
  <c r="H77" i="17"/>
  <c r="H261" i="17"/>
  <c r="I267" i="17"/>
  <c r="H109" i="17"/>
  <c r="R87" i="17"/>
  <c r="G53" i="17"/>
  <c r="I268" i="17"/>
  <c r="G209" i="17"/>
  <c r="G201" i="17"/>
  <c r="G20" i="17"/>
  <c r="I258" i="17"/>
  <c r="Q85" i="17"/>
  <c r="G115" i="17"/>
  <c r="I134" i="17"/>
  <c r="H239" i="17"/>
  <c r="I194" i="17"/>
  <c r="G38" i="17"/>
  <c r="I251" i="17"/>
  <c r="H270" i="17"/>
  <c r="I133" i="17"/>
  <c r="H273" i="17"/>
  <c r="H136" i="17"/>
  <c r="H221" i="17"/>
  <c r="G238" i="17"/>
  <c r="H226" i="17"/>
  <c r="G55" i="17"/>
  <c r="G184" i="17"/>
  <c r="I243" i="17"/>
  <c r="I199" i="17"/>
  <c r="G202" i="17"/>
  <c r="I196" i="17"/>
  <c r="G22" i="17"/>
  <c r="I215" i="17"/>
  <c r="G66" i="17"/>
  <c r="I9" i="17"/>
  <c r="G35" i="17"/>
  <c r="H105" i="17"/>
  <c r="I119" i="17"/>
  <c r="G265" i="17"/>
  <c r="H107" i="17"/>
  <c r="G120" i="17"/>
  <c r="G143" i="17"/>
  <c r="I235" i="17"/>
  <c r="G160" i="17"/>
  <c r="H108" i="17"/>
  <c r="H203" i="17"/>
  <c r="H268" i="17"/>
  <c r="G185" i="17"/>
  <c r="G65" i="17"/>
  <c r="G83" i="17"/>
  <c r="H173" i="17"/>
  <c r="H277" i="17"/>
  <c r="G123" i="17"/>
  <c r="G32" i="17"/>
  <c r="I150" i="17"/>
  <c r="I77" i="17"/>
  <c r="G230" i="17"/>
  <c r="H187" i="17"/>
  <c r="I269" i="17"/>
  <c r="I114" i="17"/>
  <c r="I137" i="17"/>
  <c r="I253" i="17"/>
  <c r="Q87" i="17"/>
  <c r="H114" i="17"/>
  <c r="G282" i="17"/>
  <c r="H192" i="17"/>
  <c r="G71" i="17"/>
  <c r="I270" i="17"/>
  <c r="G100" i="17"/>
  <c r="G283" i="17"/>
  <c r="I208" i="17"/>
  <c r="G33" i="17"/>
  <c r="H191" i="17"/>
  <c r="Q86" i="17"/>
  <c r="H150" i="17"/>
  <c r="G243" i="17"/>
  <c r="G81" i="17"/>
  <c r="I141" i="17"/>
  <c r="H214" i="17"/>
  <c r="G161" i="17"/>
  <c r="G11" i="17"/>
  <c r="I176" i="17"/>
  <c r="G97" i="17"/>
  <c r="I184" i="17"/>
  <c r="G130" i="17"/>
  <c r="I205" i="17"/>
  <c r="G48" i="17"/>
  <c r="G14" i="17"/>
  <c r="G175" i="17"/>
  <c r="G109" i="17"/>
  <c r="I10" i="17"/>
  <c r="G261" i="17"/>
  <c r="H266" i="17"/>
  <c r="I203" i="17"/>
  <c r="G88" i="17"/>
  <c r="H123" i="17"/>
  <c r="I70" i="17"/>
  <c r="I136" i="17"/>
  <c r="G63" i="17"/>
  <c r="I214" i="17"/>
  <c r="G139" i="17"/>
  <c r="I165" i="17"/>
  <c r="G226" i="17"/>
  <c r="G116" i="17"/>
  <c r="G253" i="17"/>
  <c r="G127" i="17"/>
  <c r="H282" i="17"/>
  <c r="H13" i="17"/>
  <c r="H106" i="17"/>
  <c r="G194" i="17"/>
  <c r="H253" i="17"/>
  <c r="G262" i="17"/>
  <c r="H210" i="17"/>
  <c r="AA86" i="17"/>
  <c r="G29" i="17"/>
  <c r="I180" i="17"/>
  <c r="H177" i="17"/>
  <c r="H227" i="17"/>
  <c r="I189" i="17"/>
  <c r="AB86" i="17"/>
  <c r="I277" i="17"/>
  <c r="G118" i="17"/>
  <c r="I129" i="17"/>
  <c r="G50" i="17"/>
  <c r="G189" i="17"/>
  <c r="G141" i="17"/>
  <c r="H249" i="17"/>
  <c r="G152" i="17"/>
  <c r="I142" i="17"/>
  <c r="AC79" i="17"/>
  <c r="H211" i="17"/>
  <c r="G72" i="17"/>
  <c r="H181" i="17"/>
  <c r="G37" i="17"/>
  <c r="G266" i="17"/>
  <c r="G165" i="17"/>
  <c r="G99" i="17"/>
  <c r="G86" i="17"/>
  <c r="H155" i="17"/>
  <c r="G191" i="17"/>
  <c r="H147" i="17"/>
  <c r="G57" i="17"/>
  <c r="I167" i="17"/>
  <c r="S84" i="17"/>
  <c r="I185" i="17"/>
  <c r="H74" i="17"/>
  <c r="G206" i="17"/>
  <c r="H149" i="17"/>
  <c r="I218" i="17"/>
  <c r="H287" i="17"/>
  <c r="G103" i="17"/>
  <c r="H185" i="17"/>
  <c r="G234" i="17"/>
  <c r="I263" i="17"/>
  <c r="G41" i="17"/>
  <c r="I73" i="17"/>
  <c r="H200" i="17"/>
  <c r="H190" i="17"/>
  <c r="H175" i="17"/>
  <c r="G287" i="17"/>
  <c r="G51" i="17"/>
  <c r="S86" i="17"/>
  <c r="I191" i="17"/>
  <c r="H9" i="17"/>
  <c r="G114" i="17"/>
  <c r="H68" i="17"/>
  <c r="H142" i="17"/>
  <c r="H288" i="17"/>
  <c r="H212" i="17"/>
  <c r="H179" i="17"/>
  <c r="I254" i="17"/>
  <c r="I182" i="17"/>
  <c r="G92" i="17"/>
  <c r="H159" i="17"/>
  <c r="H209" i="17"/>
  <c r="G131" i="17"/>
  <c r="I14" i="17"/>
  <c r="I181" i="17"/>
  <c r="I265" i="17"/>
  <c r="G210" i="17"/>
  <c r="G182" i="17"/>
  <c r="I106" i="17"/>
  <c r="I145" i="17"/>
  <c r="G21" i="17"/>
  <c r="H69" i="17"/>
  <c r="I286" i="17"/>
  <c r="I221" i="17"/>
  <c r="H240" i="17"/>
  <c r="G249" i="17"/>
  <c r="H135" i="17"/>
  <c r="H180" i="17"/>
  <c r="G203" i="17"/>
  <c r="I209" i="17"/>
  <c r="H228" i="17"/>
  <c r="G218" i="17"/>
  <c r="H157" i="17"/>
  <c r="H71" i="17"/>
  <c r="H254" i="17"/>
  <c r="H171" i="17"/>
  <c r="G40" i="17"/>
  <c r="G47" i="17"/>
  <c r="I125" i="17"/>
  <c r="H244" i="17"/>
  <c r="I259" i="17"/>
  <c r="H222" i="17"/>
  <c r="G225" i="17"/>
  <c r="H257" i="17"/>
  <c r="G122" i="17"/>
  <c r="G221" i="17"/>
  <c r="G256" i="17"/>
  <c r="G215" i="17"/>
  <c r="H120" i="17"/>
  <c r="H164" i="17"/>
  <c r="I257" i="17"/>
  <c r="G60" i="17"/>
  <c r="H16" i="15" a="1"/>
  <c r="H219" i="17"/>
  <c r="G274" i="17"/>
  <c r="H225" i="17"/>
  <c r="H224" i="17"/>
  <c r="G166" i="17"/>
  <c r="H204" i="17"/>
  <c r="G164" i="17"/>
  <c r="G52" i="17"/>
  <c r="I220" i="17"/>
  <c r="G244" i="17"/>
  <c r="H188" i="17"/>
  <c r="I186" i="17"/>
  <c r="G113" i="17"/>
  <c r="G198" i="17"/>
  <c r="G121" i="17"/>
  <c r="I108" i="17"/>
  <c r="G267" i="17"/>
  <c r="H146" i="17"/>
  <c r="I126" i="17"/>
  <c r="G142" i="17"/>
  <c r="H122" i="17"/>
  <c r="H8" i="17"/>
  <c r="I210" i="17"/>
  <c r="I163" i="17"/>
  <c r="I175" i="17"/>
  <c r="G46" i="17"/>
  <c r="G187" i="17"/>
  <c r="G163" i="17"/>
  <c r="I280" i="17"/>
  <c r="H137" i="17"/>
  <c r="H70" i="17"/>
  <c r="I72" i="17"/>
  <c r="H246" i="17"/>
  <c r="G200" i="17"/>
  <c r="I228" i="17"/>
  <c r="G146" i="17"/>
  <c r="R84" i="17"/>
  <c r="I241" i="17"/>
  <c r="S85" i="17"/>
  <c r="G207" i="17"/>
  <c r="G158" i="17"/>
  <c r="I237" i="17"/>
  <c r="H162" i="17"/>
  <c r="I249" i="17"/>
  <c r="H247" i="17"/>
  <c r="G240" i="17"/>
  <c r="I172" i="17"/>
  <c r="G62" i="17"/>
  <c r="AM25" i="17" l="1"/>
  <c r="AV25" i="17" s="1"/>
  <c r="AL25" i="17" a="1"/>
  <c r="AL25" i="17" s="1"/>
  <c r="AK25" i="17" a="1"/>
  <c r="AK25" i="17" s="1"/>
  <c r="AL26" i="17" a="1"/>
  <c r="AL26" i="17" s="1"/>
  <c r="AM26" i="17"/>
  <c r="AV26" i="17" s="1"/>
  <c r="AK26" i="17" a="1"/>
  <c r="AK26" i="17" s="1"/>
  <c r="AK27" i="17" a="1"/>
  <c r="AK27" i="17" s="1"/>
  <c r="AM27" i="17"/>
  <c r="AV27" i="17" s="1"/>
  <c r="AL27" i="17" a="1"/>
  <c r="AL27" i="17" s="1"/>
  <c r="AM28" i="17"/>
  <c r="AV28" i="17" s="1"/>
  <c r="AK28" i="17" a="1"/>
  <c r="AK28" i="17" s="1"/>
  <c r="AL28" i="17" a="1"/>
  <c r="AL28" i="17" s="1"/>
  <c r="AM9" i="17"/>
  <c r="AV9" i="17" s="1"/>
  <c r="AL9" i="17" a="1"/>
  <c r="AL9" i="17" s="1"/>
  <c r="AK9" i="17" a="1"/>
  <c r="AK9" i="17" s="1"/>
  <c r="AM29" i="17"/>
  <c r="AV29" i="17" s="1"/>
  <c r="AK29" i="17" a="1"/>
  <c r="AK29" i="17" s="1"/>
  <c r="AL29" i="17" a="1"/>
  <c r="AL29" i="17" s="1"/>
  <c r="AK30" i="17" a="1"/>
  <c r="AK30" i="17" s="1"/>
  <c r="AM30" i="17"/>
  <c r="AV30" i="17" s="1"/>
  <c r="AL30" i="17" a="1"/>
  <c r="AL30" i="17" s="1"/>
  <c r="AK31" i="17" a="1"/>
  <c r="AK31" i="17" s="1"/>
  <c r="AM31" i="17"/>
  <c r="AV31" i="17" s="1"/>
  <c r="AL31" i="17" a="1"/>
  <c r="AL31" i="17" s="1"/>
  <c r="AM32" i="17"/>
  <c r="AV32" i="17" s="1"/>
  <c r="AK32" i="17" a="1"/>
  <c r="AK32" i="17" s="1"/>
  <c r="AL32" i="17" a="1"/>
  <c r="AL32" i="17" s="1"/>
  <c r="AL33" i="17" a="1"/>
  <c r="AL33" i="17" s="1"/>
  <c r="AK33" i="17" a="1"/>
  <c r="AK33" i="17" s="1"/>
  <c r="AM33" i="17"/>
  <c r="AV33" i="17" s="1"/>
  <c r="AL34" i="17" a="1"/>
  <c r="AL34" i="17" s="1"/>
  <c r="AK34" i="17" a="1"/>
  <c r="AK34" i="17" s="1"/>
  <c r="AM34" i="17"/>
  <c r="AV34" i="17" s="1"/>
  <c r="AL35" i="17" a="1"/>
  <c r="AL35" i="17" s="1"/>
  <c r="AM35" i="17"/>
  <c r="AV35" i="17" s="1"/>
  <c r="AK35" i="17" a="1"/>
  <c r="AK35" i="17" s="1"/>
  <c r="AK36" i="17" a="1"/>
  <c r="AK36" i="17" s="1"/>
  <c r="AL36" i="17" a="1"/>
  <c r="AL36" i="17" s="1"/>
  <c r="AM36" i="17"/>
  <c r="AV36" i="17" s="1"/>
  <c r="AM37" i="17"/>
  <c r="AV37" i="17" s="1"/>
  <c r="AK37" i="17" a="1"/>
  <c r="AK37" i="17" s="1"/>
  <c r="AL37" i="17" a="1"/>
  <c r="AL37" i="17" s="1"/>
  <c r="AM38" i="17"/>
  <c r="AV38" i="17" s="1"/>
  <c r="AK38" i="17" a="1"/>
  <c r="AK38" i="17" s="1"/>
  <c r="AL38" i="17" a="1"/>
  <c r="AL38" i="17" s="1"/>
  <c r="AK7" i="17" a="1"/>
  <c r="AK7" i="17" s="1"/>
  <c r="AM7" i="17"/>
  <c r="AV7" i="17" s="1"/>
  <c r="AL7" i="17" a="1"/>
  <c r="AL7" i="17" s="1"/>
  <c r="AL23" i="17" a="1"/>
  <c r="AL23" i="17" s="1"/>
  <c r="AM23" i="17"/>
  <c r="AV23" i="17" s="1"/>
  <c r="AK23" i="17" a="1"/>
  <c r="AK23" i="17" s="1"/>
  <c r="AL8" i="17" a="1"/>
  <c r="AL8" i="17" s="1"/>
  <c r="AK8" i="17" a="1"/>
  <c r="AK8" i="17" s="1"/>
  <c r="AM8" i="17"/>
  <c r="AV8" i="17" s="1"/>
  <c r="AK24" i="17" a="1"/>
  <c r="AK24" i="17" s="1"/>
  <c r="AL24" i="17" a="1"/>
  <c r="AL24" i="17" s="1"/>
  <c r="AM24" i="17"/>
  <c r="AV24" i="17" s="1"/>
  <c r="D31" i="14"/>
  <c r="AO25" i="17" s="1"/>
  <c r="AI25" i="17"/>
  <c r="D16" i="14"/>
  <c r="AO10" i="17" s="1"/>
  <c r="AI10" i="17"/>
  <c r="D33" i="14"/>
  <c r="AO27" i="17" s="1"/>
  <c r="AI27" i="17"/>
  <c r="D34" i="14"/>
  <c r="AO28" i="17" s="1"/>
  <c r="AI28" i="17"/>
  <c r="D35" i="14"/>
  <c r="AO29" i="17" s="1"/>
  <c r="AI29" i="17"/>
  <c r="D36" i="14"/>
  <c r="AO30" i="17" s="1"/>
  <c r="AI30" i="17"/>
  <c r="D20" i="14"/>
  <c r="AO14" i="17" s="1"/>
  <c r="AI14" i="17"/>
  <c r="D21" i="14"/>
  <c r="AO15" i="17" s="1"/>
  <c r="AI15" i="17"/>
  <c r="D37" i="14"/>
  <c r="AO31" i="17" s="1"/>
  <c r="AI31" i="17"/>
  <c r="D32" i="14"/>
  <c r="AO26" i="17" s="1"/>
  <c r="AI26" i="17"/>
  <c r="D17" i="14"/>
  <c r="AO11" i="17" s="1"/>
  <c r="AI11" i="17"/>
  <c r="D19" i="14"/>
  <c r="AO13" i="17" s="1"/>
  <c r="AI13" i="17"/>
  <c r="D38" i="14"/>
  <c r="AO32" i="17" s="1"/>
  <c r="AI32" i="17"/>
  <c r="D18" i="14"/>
  <c r="AO12" i="17" s="1"/>
  <c r="AI12" i="17"/>
  <c r="D40" i="14"/>
  <c r="AO34" i="17" s="1"/>
  <c r="AI34" i="17"/>
  <c r="D25" i="14"/>
  <c r="AO19" i="17" s="1"/>
  <c r="AI19" i="17"/>
  <c r="D41" i="14"/>
  <c r="AO35" i="17" s="1"/>
  <c r="AI35" i="17"/>
  <c r="D22" i="14"/>
  <c r="AO16" i="17" s="1"/>
  <c r="AI16" i="17"/>
  <c r="D23" i="14"/>
  <c r="AO17" i="17" s="1"/>
  <c r="AI17" i="17"/>
  <c r="D39" i="14"/>
  <c r="AO33" i="17" s="1"/>
  <c r="AI33" i="17"/>
  <c r="D24" i="14"/>
  <c r="AO18" i="17" s="1"/>
  <c r="AI18" i="17"/>
  <c r="D26" i="14"/>
  <c r="AO20" i="17" s="1"/>
  <c r="AI20" i="17"/>
  <c r="D42" i="14"/>
  <c r="AO36" i="17" s="1"/>
  <c r="AI36" i="17"/>
  <c r="D43" i="14"/>
  <c r="AO37" i="17" s="1"/>
  <c r="AI37" i="17"/>
  <c r="D15" i="14"/>
  <c r="AO9" i="17" s="1"/>
  <c r="AI9" i="17"/>
  <c r="D27" i="14"/>
  <c r="AO21" i="17" s="1"/>
  <c r="AI21" i="17"/>
  <c r="D28" i="14"/>
  <c r="AO22" i="17" s="1"/>
  <c r="AI22" i="17"/>
  <c r="D44" i="14"/>
  <c r="AO38" i="17" s="1"/>
  <c r="AI38" i="17"/>
  <c r="D13" i="14"/>
  <c r="AO7" i="17" s="1"/>
  <c r="AI7" i="17"/>
  <c r="D29" i="14"/>
  <c r="AO23" i="17" s="1"/>
  <c r="AI23" i="17"/>
  <c r="D14" i="14"/>
  <c r="AO8" i="17" s="1"/>
  <c r="AI8" i="17"/>
  <c r="D30" i="14"/>
  <c r="AO24" i="17" s="1"/>
  <c r="AI24" i="17"/>
  <c r="AE79" i="17"/>
  <c r="AE86" i="17"/>
  <c r="AE85" i="17"/>
  <c r="AE84" i="17"/>
  <c r="X87" i="17"/>
  <c r="X94" i="17"/>
  <c r="X93" i="17"/>
  <c r="X92" i="17"/>
  <c r="U85" i="17"/>
  <c r="U87" i="17"/>
  <c r="U86" i="17"/>
  <c r="U84" i="17"/>
  <c r="N93" i="17"/>
  <c r="N95" i="17"/>
  <c r="N94" i="17"/>
  <c r="N92" i="17"/>
  <c r="K224" i="17"/>
  <c r="K223" i="17"/>
  <c r="K225" i="17"/>
  <c r="K226" i="17"/>
  <c r="K287" i="17"/>
  <c r="K288" i="17"/>
  <c r="K228" i="17"/>
  <c r="K227" i="17"/>
  <c r="K230" i="17"/>
  <c r="K229" i="17"/>
  <c r="K262" i="17"/>
  <c r="K261" i="17"/>
  <c r="K260" i="17"/>
  <c r="K259" i="17"/>
  <c r="K128" i="17"/>
  <c r="AF54" i="17" s="1"/>
  <c r="K127" i="17"/>
  <c r="AF53" i="17" s="1"/>
  <c r="K129" i="17"/>
  <c r="AF55" i="17" s="1"/>
  <c r="K130" i="17"/>
  <c r="AF56" i="17" s="1"/>
  <c r="K68" i="17"/>
  <c r="K196" i="17"/>
  <c r="K195" i="17"/>
  <c r="K198" i="17"/>
  <c r="K197" i="17"/>
  <c r="K132" i="17"/>
  <c r="AF58" i="17" s="1"/>
  <c r="K131" i="17"/>
  <c r="AF57" i="17" s="1"/>
  <c r="K134" i="17"/>
  <c r="AF60" i="17" s="1"/>
  <c r="K133" i="17"/>
  <c r="AF59" i="17" s="1"/>
  <c r="K104" i="17"/>
  <c r="K106" i="17"/>
  <c r="K105" i="17"/>
  <c r="K136" i="17"/>
  <c r="AF62" i="17" s="1"/>
  <c r="K135" i="17"/>
  <c r="AF61" i="17" s="1"/>
  <c r="K138" i="17"/>
  <c r="AF64" i="17" s="1"/>
  <c r="K137" i="17"/>
  <c r="AF63" i="17" s="1"/>
  <c r="K168" i="17"/>
  <c r="AP30" i="17" s="1"/>
  <c r="K167" i="17"/>
  <c r="AP29" i="17" s="1"/>
  <c r="K170" i="17"/>
  <c r="AP32" i="17" s="1"/>
  <c r="K169" i="17"/>
  <c r="AP31" i="17" s="1"/>
  <c r="K200" i="17"/>
  <c r="K199" i="17"/>
  <c r="K201" i="17"/>
  <c r="K202" i="17"/>
  <c r="K232" i="17"/>
  <c r="K231" i="17"/>
  <c r="K233" i="17"/>
  <c r="K234" i="17"/>
  <c r="K266" i="17"/>
  <c r="K265" i="17"/>
  <c r="K264" i="17"/>
  <c r="K263" i="17"/>
  <c r="K160" i="17"/>
  <c r="AP22" i="17" s="1"/>
  <c r="K159" i="17"/>
  <c r="AP21" i="17" s="1"/>
  <c r="K162" i="17"/>
  <c r="AP24" i="17" s="1"/>
  <c r="K161" i="17"/>
  <c r="AP23" i="17" s="1"/>
  <c r="K258" i="17"/>
  <c r="K257" i="17"/>
  <c r="K256" i="17"/>
  <c r="K255" i="17"/>
  <c r="K164" i="17"/>
  <c r="AP26" i="17" s="1"/>
  <c r="K163" i="17"/>
  <c r="AP25" i="17" s="1"/>
  <c r="K166" i="17"/>
  <c r="AP28" i="17" s="1"/>
  <c r="K165" i="17"/>
  <c r="AP27" i="17" s="1"/>
  <c r="K108" i="17"/>
  <c r="K107" i="17"/>
  <c r="K110" i="17"/>
  <c r="K109" i="17"/>
  <c r="K140" i="17"/>
  <c r="AF66" i="17" s="1"/>
  <c r="K139" i="17"/>
  <c r="AF65" i="17" s="1"/>
  <c r="K142" i="17"/>
  <c r="AF68" i="17" s="1"/>
  <c r="K141" i="17"/>
  <c r="AF67" i="17" s="1"/>
  <c r="K172" i="17"/>
  <c r="AP34" i="17" s="1"/>
  <c r="K171" i="17"/>
  <c r="AP33" i="17" s="1"/>
  <c r="K173" i="17"/>
  <c r="AP35" i="17" s="1"/>
  <c r="K174" i="17"/>
  <c r="AP36" i="17" s="1"/>
  <c r="K204" i="17"/>
  <c r="K203" i="17"/>
  <c r="K206" i="17"/>
  <c r="K205" i="17"/>
  <c r="K238" i="17"/>
  <c r="K237" i="17"/>
  <c r="K236" i="17"/>
  <c r="K235" i="17"/>
  <c r="K270" i="17"/>
  <c r="K269" i="17"/>
  <c r="K268" i="17"/>
  <c r="K267" i="17"/>
  <c r="K112" i="17"/>
  <c r="K111" i="17"/>
  <c r="K114" i="17"/>
  <c r="AF40" i="17" s="1"/>
  <c r="K113" i="17"/>
  <c r="K144" i="17"/>
  <c r="K143" i="17"/>
  <c r="AF69" i="17" s="1"/>
  <c r="K145" i="17"/>
  <c r="AP7" i="17" s="1"/>
  <c r="K146" i="17"/>
  <c r="AP8" i="17" s="1"/>
  <c r="K176" i="17"/>
  <c r="AP38" i="17" s="1"/>
  <c r="K175" i="17"/>
  <c r="AP37" i="17" s="1"/>
  <c r="K177" i="17"/>
  <c r="K178" i="17"/>
  <c r="K208" i="17"/>
  <c r="K207" i="17"/>
  <c r="K209" i="17"/>
  <c r="K210" i="17"/>
  <c r="K242" i="17"/>
  <c r="K241" i="17"/>
  <c r="K240" i="17"/>
  <c r="K239" i="17"/>
  <c r="K272" i="17"/>
  <c r="K273" i="17"/>
  <c r="K274" i="17"/>
  <c r="K271" i="17"/>
  <c r="K116" i="17"/>
  <c r="AF42" i="17" s="1"/>
  <c r="K115" i="17"/>
  <c r="AF41" i="17" s="1"/>
  <c r="K117" i="17"/>
  <c r="AF43" i="17" s="1"/>
  <c r="K118" i="17"/>
  <c r="AF44" i="17" s="1"/>
  <c r="K148" i="17"/>
  <c r="AP10" i="17" s="1"/>
  <c r="K147" i="17"/>
  <c r="AP9" i="17" s="1"/>
  <c r="K149" i="17"/>
  <c r="AP11" i="17" s="1"/>
  <c r="K150" i="17"/>
  <c r="AP12" i="17" s="1"/>
  <c r="K180" i="17"/>
  <c r="K179" i="17"/>
  <c r="K181" i="17"/>
  <c r="K182" i="17"/>
  <c r="K212" i="17"/>
  <c r="K211" i="17"/>
  <c r="K214" i="17"/>
  <c r="K213" i="17"/>
  <c r="K244" i="17"/>
  <c r="K243" i="17"/>
  <c r="K246" i="17"/>
  <c r="K245" i="17"/>
  <c r="K277" i="17"/>
  <c r="K276" i="17"/>
  <c r="K278" i="17"/>
  <c r="K275" i="17"/>
  <c r="K192" i="17"/>
  <c r="K191" i="17"/>
  <c r="K194" i="17"/>
  <c r="K193" i="17"/>
  <c r="K120" i="17"/>
  <c r="AF46" i="17" s="1"/>
  <c r="K119" i="17"/>
  <c r="AF45" i="17" s="1"/>
  <c r="K122" i="17"/>
  <c r="AF48" i="17" s="1"/>
  <c r="K121" i="17"/>
  <c r="AF47" i="17" s="1"/>
  <c r="K152" i="17"/>
  <c r="AP14" i="17" s="1"/>
  <c r="K151" i="17"/>
  <c r="AP13" i="17" s="1"/>
  <c r="K153" i="17"/>
  <c r="AP15" i="17" s="1"/>
  <c r="K154" i="17"/>
  <c r="AP16" i="17" s="1"/>
  <c r="K184" i="17"/>
  <c r="K183" i="17"/>
  <c r="K186" i="17"/>
  <c r="K185" i="17"/>
  <c r="K216" i="17"/>
  <c r="K215" i="17"/>
  <c r="K218" i="17"/>
  <c r="K217" i="17"/>
  <c r="K250" i="17"/>
  <c r="K249" i="17"/>
  <c r="K248" i="17"/>
  <c r="K247" i="17"/>
  <c r="K282" i="17"/>
  <c r="K281" i="17"/>
  <c r="K280" i="17"/>
  <c r="K279" i="17"/>
  <c r="K124" i="17"/>
  <c r="AF50" i="17" s="1"/>
  <c r="K123" i="17"/>
  <c r="AF49" i="17" s="1"/>
  <c r="K125" i="17"/>
  <c r="AF51" i="17" s="1"/>
  <c r="K126" i="17"/>
  <c r="AF52" i="17" s="1"/>
  <c r="K156" i="17"/>
  <c r="AP18" i="17" s="1"/>
  <c r="K155" i="17"/>
  <c r="AP17" i="17" s="1"/>
  <c r="K157" i="17"/>
  <c r="AP19" i="17" s="1"/>
  <c r="K158" i="17"/>
  <c r="AP20" i="17" s="1"/>
  <c r="K188" i="17"/>
  <c r="K187" i="17"/>
  <c r="K189" i="17"/>
  <c r="K190" i="17"/>
  <c r="K220" i="17"/>
  <c r="K219" i="17"/>
  <c r="K221" i="17"/>
  <c r="K222" i="17"/>
  <c r="K254" i="17"/>
  <c r="K253" i="17"/>
  <c r="K252" i="17"/>
  <c r="K251" i="17"/>
  <c r="K285" i="17"/>
  <c r="K286" i="17"/>
  <c r="K284" i="17"/>
  <c r="K283" i="17"/>
  <c r="K76" i="17"/>
  <c r="K72" i="17"/>
  <c r="K69" i="17"/>
  <c r="K77" i="17"/>
  <c r="K78" i="17"/>
  <c r="K70" i="17"/>
  <c r="K73" i="17"/>
  <c r="K71" i="17"/>
  <c r="K74" i="17"/>
  <c r="K13" i="17"/>
  <c r="K14" i="17"/>
  <c r="K18" i="17"/>
  <c r="K7" i="17"/>
  <c r="K10" i="17"/>
  <c r="K8" i="17"/>
  <c r="K12" i="17"/>
  <c r="K9" i="17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9" i="16"/>
  <c r="F38" i="16"/>
  <c r="F40" i="16"/>
  <c r="F41" i="16"/>
  <c r="F42" i="16"/>
  <c r="F43" i="16"/>
  <c r="F44" i="16"/>
  <c r="F45" i="16"/>
  <c r="F46" i="16"/>
  <c r="F47" i="16"/>
  <c r="F48" i="16"/>
  <c r="F49" i="16"/>
  <c r="F50" i="16"/>
  <c r="E38" i="16"/>
  <c r="F51" i="16"/>
  <c r="F52" i="16"/>
  <c r="F53" i="16"/>
  <c r="F54" i="16"/>
  <c r="J26" i="16" s="1"/>
  <c r="H16" i="15"/>
  <c r="P58" i="16" s="1"/>
  <c r="I82" i="17"/>
  <c r="H15" i="17"/>
  <c r="AB83" i="17"/>
  <c r="AA88" i="17"/>
  <c r="H78" i="17"/>
  <c r="R91" i="17"/>
  <c r="Q89" i="17"/>
  <c r="I79" i="17"/>
  <c r="I11" i="17"/>
  <c r="S89" i="17"/>
  <c r="AA89" i="17"/>
  <c r="H14" i="17"/>
  <c r="I80" i="17"/>
  <c r="H84" i="17"/>
  <c r="AA83" i="17"/>
  <c r="S88" i="17"/>
  <c r="AC88" i="17"/>
  <c r="AB88" i="17"/>
  <c r="AC83" i="17"/>
  <c r="H18" i="17"/>
  <c r="Q88" i="17"/>
  <c r="I84" i="17"/>
  <c r="S91" i="17"/>
  <c r="AC89" i="17"/>
  <c r="AC90" i="17"/>
  <c r="H80" i="17"/>
  <c r="AB89" i="17"/>
  <c r="R90" i="17"/>
  <c r="R89" i="17"/>
  <c r="Q90" i="17"/>
  <c r="S90" i="17"/>
  <c r="I15" i="17"/>
  <c r="AA90" i="17"/>
  <c r="H11" i="17"/>
  <c r="I75" i="17"/>
  <c r="H79" i="17"/>
  <c r="H76" i="17"/>
  <c r="H75" i="17"/>
  <c r="Q91" i="17"/>
  <c r="AB90" i="17"/>
  <c r="H82" i="17"/>
  <c r="R88" i="17"/>
  <c r="J59" i="16" a="1"/>
  <c r="J59" i="16" l="1"/>
  <c r="B68" i="15" s="1"/>
  <c r="AZ8" i="17"/>
  <c r="AZ7" i="17"/>
  <c r="AZ9" i="17"/>
  <c r="L204" i="17"/>
  <c r="AU34" i="17"/>
  <c r="L193" i="17"/>
  <c r="AU23" i="17"/>
  <c r="L182" i="17"/>
  <c r="AU12" i="17"/>
  <c r="L202" i="17"/>
  <c r="AU32" i="17"/>
  <c r="L203" i="17"/>
  <c r="AU33" i="17"/>
  <c r="L194" i="17"/>
  <c r="AU24" i="17"/>
  <c r="L181" i="17"/>
  <c r="AU11" i="17"/>
  <c r="L201" i="17"/>
  <c r="AU31" i="17"/>
  <c r="L191" i="17"/>
  <c r="AU21" i="17"/>
  <c r="L179" i="17"/>
  <c r="AU9" i="17"/>
  <c r="L199" i="17"/>
  <c r="AU29" i="17"/>
  <c r="L180" i="17"/>
  <c r="AU10" i="17"/>
  <c r="L200" i="17"/>
  <c r="AU30" i="17"/>
  <c r="L197" i="17"/>
  <c r="AU27" i="17"/>
  <c r="L187" i="17"/>
  <c r="AU17" i="17"/>
  <c r="L188" i="17"/>
  <c r="AU18" i="17"/>
  <c r="L192" i="17"/>
  <c r="AU22" i="17"/>
  <c r="L185" i="17"/>
  <c r="AU15" i="17"/>
  <c r="L198" i="17"/>
  <c r="AU28" i="17"/>
  <c r="L186" i="17"/>
  <c r="AU16" i="17"/>
  <c r="L195" i="17"/>
  <c r="AU25" i="17"/>
  <c r="L183" i="17"/>
  <c r="AU13" i="17"/>
  <c r="L207" i="17"/>
  <c r="AU37" i="17"/>
  <c r="L196" i="17"/>
  <c r="AU26" i="17"/>
  <c r="L208" i="17"/>
  <c r="AU38" i="17"/>
  <c r="L178" i="17"/>
  <c r="AU8" i="17"/>
  <c r="L184" i="17"/>
  <c r="AU14" i="17"/>
  <c r="L190" i="17"/>
  <c r="AU20" i="17"/>
  <c r="L205" i="17"/>
  <c r="AU35" i="17"/>
  <c r="L189" i="17"/>
  <c r="AU19" i="17"/>
  <c r="L206" i="17"/>
  <c r="AU36" i="17"/>
  <c r="L177" i="17"/>
  <c r="AU7" i="17"/>
  <c r="AF38" i="17"/>
  <c r="AN38" i="17" s="1"/>
  <c r="AF70" i="17"/>
  <c r="AF7" i="17"/>
  <c r="AF39" i="17"/>
  <c r="V68" i="17"/>
  <c r="AF22" i="17"/>
  <c r="AN22" i="17" s="1"/>
  <c r="V61" i="17"/>
  <c r="AF15" i="17"/>
  <c r="AN15" i="17" s="1"/>
  <c r="AQ15" i="17" s="1"/>
  <c r="AR15" i="17" s="1"/>
  <c r="AT15" i="17" s="1"/>
  <c r="V67" i="17"/>
  <c r="AF21" i="17"/>
  <c r="AN21" i="17" s="1"/>
  <c r="V56" i="17"/>
  <c r="AF10" i="17"/>
  <c r="AN10" i="17" s="1"/>
  <c r="V76" i="17"/>
  <c r="AF30" i="17"/>
  <c r="AN30" i="17" s="1"/>
  <c r="V62" i="17"/>
  <c r="AF16" i="17"/>
  <c r="AN16" i="17" s="1"/>
  <c r="V59" i="17"/>
  <c r="AF13" i="17"/>
  <c r="AN13" i="17" s="1"/>
  <c r="V83" i="17"/>
  <c r="AF37" i="17"/>
  <c r="AN37" i="17" s="1"/>
  <c r="V60" i="17"/>
  <c r="AF14" i="17"/>
  <c r="AN14" i="17" s="1"/>
  <c r="V73" i="17"/>
  <c r="AF27" i="17"/>
  <c r="AN27" i="17" s="1"/>
  <c r="V75" i="17"/>
  <c r="AF29" i="17"/>
  <c r="AN29" i="17" s="1"/>
  <c r="V74" i="17"/>
  <c r="AF28" i="17"/>
  <c r="AN28" i="17" s="1"/>
  <c r="V71" i="17"/>
  <c r="AF25" i="17"/>
  <c r="AN25" i="17" s="1"/>
  <c r="V54" i="17"/>
  <c r="AF8" i="17"/>
  <c r="AN8" i="17" s="1"/>
  <c r="V72" i="17"/>
  <c r="AF26" i="17"/>
  <c r="AN26" i="17" s="1"/>
  <c r="V81" i="17"/>
  <c r="AF35" i="17"/>
  <c r="AN35" i="17" s="1"/>
  <c r="V66" i="17"/>
  <c r="AF20" i="17"/>
  <c r="AN20" i="17" s="1"/>
  <c r="V65" i="17"/>
  <c r="AF19" i="17"/>
  <c r="AN19" i="17" s="1"/>
  <c r="V82" i="17"/>
  <c r="AF36" i="17"/>
  <c r="AN36" i="17" s="1"/>
  <c r="V79" i="17"/>
  <c r="AF33" i="17"/>
  <c r="AN33" i="17" s="1"/>
  <c r="V55" i="17"/>
  <c r="AF9" i="17"/>
  <c r="AN9" i="17" s="1"/>
  <c r="V63" i="17"/>
  <c r="AF17" i="17"/>
  <c r="AN17" i="17" s="1"/>
  <c r="V64" i="17"/>
  <c r="AF18" i="17"/>
  <c r="AN18" i="17" s="1"/>
  <c r="V80" i="17"/>
  <c r="AF34" i="17"/>
  <c r="AN34" i="17" s="1"/>
  <c r="V58" i="17"/>
  <c r="AF12" i="17"/>
  <c r="AN12" i="17" s="1"/>
  <c r="V77" i="17"/>
  <c r="AF31" i="17"/>
  <c r="AN31" i="17" s="1"/>
  <c r="V70" i="17"/>
  <c r="AF24" i="17"/>
  <c r="AN24" i="17" s="1"/>
  <c r="V57" i="17"/>
  <c r="AF11" i="17"/>
  <c r="AN11" i="17" s="1"/>
  <c r="V78" i="17"/>
  <c r="AF32" i="17"/>
  <c r="AN32" i="17" s="1"/>
  <c r="V69" i="17"/>
  <c r="AF23" i="17"/>
  <c r="AN23" i="17" s="1"/>
  <c r="V53" i="17"/>
  <c r="AE89" i="17"/>
  <c r="AE90" i="17"/>
  <c r="AE83" i="17"/>
  <c r="AE88" i="17"/>
  <c r="X97" i="17"/>
  <c r="X98" i="17"/>
  <c r="X91" i="17"/>
  <c r="X96" i="17"/>
  <c r="V84" i="17"/>
  <c r="U91" i="17"/>
  <c r="U89" i="17"/>
  <c r="U90" i="17"/>
  <c r="U88" i="17"/>
  <c r="N98" i="17"/>
  <c r="N99" i="17"/>
  <c r="N97" i="17"/>
  <c r="N96" i="17"/>
  <c r="K80" i="17"/>
  <c r="K75" i="17"/>
  <c r="K84" i="17"/>
  <c r="K79" i="17"/>
  <c r="K82" i="17"/>
  <c r="K15" i="17"/>
  <c r="K11" i="17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D10" i="15"/>
  <c r="E10" i="15" s="1"/>
  <c r="F10" i="15" s="1"/>
  <c r="G10" i="15" s="1"/>
  <c r="H10" i="15" s="1"/>
  <c r="I10" i="15" s="1"/>
  <c r="J10" i="15" s="1"/>
  <c r="K10" i="15" s="1"/>
  <c r="L10" i="15" s="1"/>
  <c r="M10" i="15" s="1"/>
  <c r="N10" i="15" s="1"/>
  <c r="O10" i="15" s="1"/>
  <c r="P10" i="15" s="1"/>
  <c r="Q10" i="15" s="1"/>
  <c r="R10" i="15" s="1"/>
  <c r="S10" i="15" s="1"/>
  <c r="T10" i="15" s="1"/>
  <c r="U10" i="15" s="1"/>
  <c r="V10" i="15" s="1"/>
  <c r="W10" i="15" s="1"/>
  <c r="X10" i="15" s="1"/>
  <c r="Y10" i="15" s="1"/>
  <c r="Z10" i="15" s="1"/>
  <c r="AA10" i="15" s="1"/>
  <c r="AB10" i="15" s="1"/>
  <c r="AC10" i="15" s="1"/>
  <c r="AD10" i="15" s="1"/>
  <c r="AE10" i="15" s="1"/>
  <c r="AF10" i="15" s="1"/>
  <c r="AG10" i="15" s="1"/>
  <c r="AH10" i="15" s="1"/>
  <c r="B22" i="15"/>
  <c r="E22" i="15" s="1"/>
  <c r="D114" i="13"/>
  <c r="C114" i="13"/>
  <c r="D113" i="13"/>
  <c r="C113" i="13"/>
  <c r="D112" i="13"/>
  <c r="C112" i="13"/>
  <c r="D111" i="13"/>
  <c r="C111" i="13"/>
  <c r="D110" i="13"/>
  <c r="C110" i="13"/>
  <c r="D109" i="13"/>
  <c r="C109" i="13"/>
  <c r="D108" i="13"/>
  <c r="C108" i="13"/>
  <c r="D107" i="13"/>
  <c r="C107" i="13"/>
  <c r="D106" i="13"/>
  <c r="C106" i="13"/>
  <c r="D105" i="13"/>
  <c r="C105" i="13"/>
  <c r="D104" i="13"/>
  <c r="C104" i="13"/>
  <c r="D103" i="13"/>
  <c r="C103" i="13"/>
  <c r="D102" i="13"/>
  <c r="C102" i="13"/>
  <c r="D101" i="13"/>
  <c r="C101" i="13"/>
  <c r="D100" i="13"/>
  <c r="C100" i="13"/>
  <c r="D99" i="13"/>
  <c r="C99" i="13"/>
  <c r="D98" i="13"/>
  <c r="C98" i="13"/>
  <c r="D97" i="13"/>
  <c r="C97" i="13"/>
  <c r="D96" i="13"/>
  <c r="C96" i="13"/>
  <c r="D95" i="13"/>
  <c r="C95" i="13"/>
  <c r="D94" i="13"/>
  <c r="C94" i="13"/>
  <c r="D93" i="13"/>
  <c r="C93" i="13"/>
  <c r="D92" i="13"/>
  <c r="C92" i="13"/>
  <c r="D91" i="13"/>
  <c r="C91" i="13"/>
  <c r="D90" i="13"/>
  <c r="C90" i="13"/>
  <c r="D89" i="13"/>
  <c r="C89" i="13"/>
  <c r="D88" i="13"/>
  <c r="C88" i="13"/>
  <c r="D87" i="13"/>
  <c r="C87" i="13"/>
  <c r="D86" i="13"/>
  <c r="C86" i="13"/>
  <c r="D85" i="13"/>
  <c r="C85" i="13"/>
  <c r="D84" i="13"/>
  <c r="C84" i="13"/>
  <c r="B84" i="13"/>
  <c r="H80" i="13"/>
  <c r="C80" i="13"/>
  <c r="G80" i="13" s="1"/>
  <c r="H79" i="13"/>
  <c r="G79" i="13"/>
  <c r="C79" i="13"/>
  <c r="H78" i="13"/>
  <c r="G78" i="13"/>
  <c r="C78" i="13"/>
  <c r="H77" i="13"/>
  <c r="C77" i="13"/>
  <c r="G77" i="13" s="1"/>
  <c r="H76" i="13"/>
  <c r="C76" i="13"/>
  <c r="G76" i="13" s="1"/>
  <c r="H75" i="13"/>
  <c r="G75" i="13"/>
  <c r="C75" i="13"/>
  <c r="H74" i="13"/>
  <c r="C74" i="13"/>
  <c r="G74" i="13" s="1"/>
  <c r="H73" i="13"/>
  <c r="C73" i="13"/>
  <c r="G73" i="13" s="1"/>
  <c r="H72" i="13"/>
  <c r="C72" i="13"/>
  <c r="G72" i="13" s="1"/>
  <c r="H71" i="13"/>
  <c r="G71" i="13"/>
  <c r="C71" i="13"/>
  <c r="H70" i="13"/>
  <c r="C70" i="13"/>
  <c r="G70" i="13" s="1"/>
  <c r="H69" i="13"/>
  <c r="G69" i="13"/>
  <c r="C69" i="13"/>
  <c r="H68" i="13"/>
  <c r="C68" i="13"/>
  <c r="G68" i="13" s="1"/>
  <c r="U67" i="13"/>
  <c r="H67" i="13"/>
  <c r="C67" i="13"/>
  <c r="G67" i="13" s="1"/>
  <c r="U66" i="13"/>
  <c r="H66" i="13"/>
  <c r="G66" i="13"/>
  <c r="C66" i="13"/>
  <c r="AV65" i="13"/>
  <c r="AW65" i="13" s="1"/>
  <c r="U65" i="13"/>
  <c r="H65" i="13"/>
  <c r="G65" i="13"/>
  <c r="C65" i="13"/>
  <c r="AW64" i="13"/>
  <c r="H64" i="13"/>
  <c r="G64" i="13"/>
  <c r="C64" i="13"/>
  <c r="H63" i="13"/>
  <c r="C63" i="13"/>
  <c r="G63" i="13" s="1"/>
  <c r="H62" i="13"/>
  <c r="G62" i="13"/>
  <c r="C62" i="13"/>
  <c r="H61" i="13"/>
  <c r="C61" i="13"/>
  <c r="G61" i="13" s="1"/>
  <c r="H60" i="13"/>
  <c r="G60" i="13"/>
  <c r="C60" i="13"/>
  <c r="H59" i="13"/>
  <c r="C59" i="13"/>
  <c r="G59" i="13" s="1"/>
  <c r="H58" i="13"/>
  <c r="C58" i="13"/>
  <c r="G58" i="13" s="1"/>
  <c r="H57" i="13"/>
  <c r="C57" i="13"/>
  <c r="G57" i="13" s="1"/>
  <c r="H56" i="13"/>
  <c r="C56" i="13"/>
  <c r="G56" i="13" s="1"/>
  <c r="H55" i="13"/>
  <c r="C55" i="13"/>
  <c r="G55" i="13" s="1"/>
  <c r="H54" i="13"/>
  <c r="C54" i="13"/>
  <c r="G54" i="13" s="1"/>
  <c r="H53" i="13"/>
  <c r="C53" i="13"/>
  <c r="G53" i="13" s="1"/>
  <c r="H52" i="13"/>
  <c r="C52" i="13"/>
  <c r="G52" i="13" s="1"/>
  <c r="H51" i="13"/>
  <c r="C51" i="13"/>
  <c r="G51" i="13" s="1"/>
  <c r="B51" i="13"/>
  <c r="B52" i="13" s="1"/>
  <c r="H50" i="13"/>
  <c r="C50" i="13"/>
  <c r="G50" i="13" s="1"/>
  <c r="B50" i="13"/>
  <c r="I49" i="13"/>
  <c r="H49" i="13"/>
  <c r="C49" i="13"/>
  <c r="G49" i="13" s="1"/>
  <c r="F44" i="13"/>
  <c r="G44" i="13" s="1"/>
  <c r="F43" i="13"/>
  <c r="G43" i="13" s="1"/>
  <c r="F42" i="13"/>
  <c r="G42" i="13" s="1"/>
  <c r="G41" i="13"/>
  <c r="F41" i="13"/>
  <c r="F40" i="13"/>
  <c r="G40" i="13" s="1"/>
  <c r="G39" i="13"/>
  <c r="F39" i="13"/>
  <c r="F38" i="13"/>
  <c r="G38" i="13" s="1"/>
  <c r="G37" i="13"/>
  <c r="F37" i="13"/>
  <c r="F36" i="13"/>
  <c r="G36" i="13" s="1"/>
  <c r="G35" i="13"/>
  <c r="F35" i="13"/>
  <c r="F34" i="13"/>
  <c r="G34" i="13" s="1"/>
  <c r="G33" i="13"/>
  <c r="F33" i="13"/>
  <c r="F32" i="13"/>
  <c r="G32" i="13" s="1"/>
  <c r="H31" i="13"/>
  <c r="G31" i="13"/>
  <c r="F31" i="13"/>
  <c r="F30" i="13"/>
  <c r="G30" i="13" s="1"/>
  <c r="G29" i="13"/>
  <c r="F29" i="13"/>
  <c r="F28" i="13"/>
  <c r="G28" i="13" s="1"/>
  <c r="F27" i="13"/>
  <c r="G27" i="13" s="1"/>
  <c r="F26" i="13"/>
  <c r="G26" i="13" s="1"/>
  <c r="G25" i="13"/>
  <c r="F25" i="13"/>
  <c r="F24" i="13"/>
  <c r="G24" i="13" s="1"/>
  <c r="G23" i="13"/>
  <c r="F23" i="13"/>
  <c r="F22" i="13"/>
  <c r="G22" i="13" s="1"/>
  <c r="G21" i="13"/>
  <c r="F21" i="13"/>
  <c r="F20" i="13"/>
  <c r="G20" i="13" s="1"/>
  <c r="G19" i="13"/>
  <c r="F19" i="13"/>
  <c r="F18" i="13"/>
  <c r="G18" i="13" s="1"/>
  <c r="F17" i="13"/>
  <c r="G17" i="13" s="1"/>
  <c r="G16" i="13"/>
  <c r="F16" i="13"/>
  <c r="B16" i="13"/>
  <c r="B17" i="13" s="1"/>
  <c r="G15" i="13"/>
  <c r="F15" i="13"/>
  <c r="B15" i="13"/>
  <c r="H15" i="13" s="1"/>
  <c r="H14" i="13"/>
  <c r="F14" i="13"/>
  <c r="G14" i="13" s="1"/>
  <c r="AB11" i="13"/>
  <c r="AC11" i="13" s="1"/>
  <c r="AC10" i="13"/>
  <c r="AN6" i="13"/>
  <c r="AX95" i="13" s="1"/>
  <c r="AY95" i="13" s="1"/>
  <c r="AM6" i="13"/>
  <c r="AD40" i="13" s="1"/>
  <c r="AE40" i="13" s="1"/>
  <c r="AL6" i="13"/>
  <c r="AX93" i="13" s="1"/>
  <c r="AY93" i="13" s="1"/>
  <c r="AK6" i="13"/>
  <c r="AD38" i="13" s="1"/>
  <c r="AE38" i="13" s="1"/>
  <c r="AJ6" i="13"/>
  <c r="AX91" i="13" s="1"/>
  <c r="AY91" i="13" s="1"/>
  <c r="AI6" i="13"/>
  <c r="AD36" i="13" s="1"/>
  <c r="AE36" i="13" s="1"/>
  <c r="AH6" i="13"/>
  <c r="AX89" i="13" s="1"/>
  <c r="AY89" i="13" s="1"/>
  <c r="AG6" i="13"/>
  <c r="AD34" i="13" s="1"/>
  <c r="AE34" i="13" s="1"/>
  <c r="AF6" i="13"/>
  <c r="AD33" i="13" s="1"/>
  <c r="AE33" i="13" s="1"/>
  <c r="AE6" i="13"/>
  <c r="AD32" i="13" s="1"/>
  <c r="AE32" i="13" s="1"/>
  <c r="AD6" i="13"/>
  <c r="AX85" i="13" s="1"/>
  <c r="AY85" i="13" s="1"/>
  <c r="AC6" i="13"/>
  <c r="AX84" i="13" s="1"/>
  <c r="AY84" i="13" s="1"/>
  <c r="AB6" i="13"/>
  <c r="AX83" i="13" s="1"/>
  <c r="AY83" i="13" s="1"/>
  <c r="AA6" i="13"/>
  <c r="AX82" i="13" s="1"/>
  <c r="AY82" i="13" s="1"/>
  <c r="Z6" i="13"/>
  <c r="AD27" i="13" s="1"/>
  <c r="AE27" i="13" s="1"/>
  <c r="Y6" i="13"/>
  <c r="AD26" i="13" s="1"/>
  <c r="AE26" i="13" s="1"/>
  <c r="X6" i="13"/>
  <c r="AD25" i="13" s="1"/>
  <c r="AE25" i="13" s="1"/>
  <c r="W6" i="13"/>
  <c r="AD24" i="13" s="1"/>
  <c r="AE24" i="13" s="1"/>
  <c r="V6" i="13"/>
  <c r="AX77" i="13" s="1"/>
  <c r="AY77" i="13" s="1"/>
  <c r="BA77" i="13" s="1"/>
  <c r="U6" i="13"/>
  <c r="AD22" i="13" s="1"/>
  <c r="AE22" i="13" s="1"/>
  <c r="T6" i="13"/>
  <c r="AX75" i="13" s="1"/>
  <c r="AY75" i="13" s="1"/>
  <c r="BA75" i="13" s="1"/>
  <c r="S6" i="13"/>
  <c r="AX74" i="13" s="1"/>
  <c r="AY74" i="13" s="1"/>
  <c r="BA74" i="13" s="1"/>
  <c r="R6" i="13"/>
  <c r="AX73" i="13" s="1"/>
  <c r="AY73" i="13" s="1"/>
  <c r="BA73" i="13" s="1"/>
  <c r="Q6" i="13"/>
  <c r="AD18" i="13" s="1"/>
  <c r="AE18" i="13" s="1"/>
  <c r="P6" i="13"/>
  <c r="AD17" i="13" s="1"/>
  <c r="AE17" i="13" s="1"/>
  <c r="O6" i="13"/>
  <c r="AD16" i="13" s="1"/>
  <c r="AE16" i="13" s="1"/>
  <c r="N6" i="13"/>
  <c r="AD15" i="13" s="1"/>
  <c r="AE15" i="13" s="1"/>
  <c r="M6" i="13"/>
  <c r="AX68" i="13" s="1"/>
  <c r="AY68" i="13" s="1"/>
  <c r="BA68" i="13" s="1"/>
  <c r="L6" i="13"/>
  <c r="AX67" i="13" s="1"/>
  <c r="AY67" i="13" s="1"/>
  <c r="BA67" i="13" s="1"/>
  <c r="K6" i="13"/>
  <c r="AD12" i="13" s="1"/>
  <c r="AE12" i="13" s="1"/>
  <c r="J6" i="13"/>
  <c r="AD11" i="13" s="1"/>
  <c r="AE11" i="13" s="1"/>
  <c r="I6" i="13"/>
  <c r="AX64" i="13" s="1"/>
  <c r="AY64" i="13" s="1"/>
  <c r="BA64" i="13" s="1"/>
  <c r="J4" i="13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AC4" i="13" s="1"/>
  <c r="AD4" i="13" s="1"/>
  <c r="AE4" i="13" s="1"/>
  <c r="AF4" i="13" s="1"/>
  <c r="AG4" i="13" s="1"/>
  <c r="AH4" i="13" s="1"/>
  <c r="AI4" i="13" s="1"/>
  <c r="AJ4" i="13" s="1"/>
  <c r="AK4" i="13" s="1"/>
  <c r="AL4" i="13" s="1"/>
  <c r="AM4" i="13" s="1"/>
  <c r="AN4" i="13" s="1"/>
  <c r="F96" i="13" a="1"/>
  <c r="G110" i="13" a="1"/>
  <c r="F94" i="13" a="1"/>
  <c r="G92" i="13" a="1"/>
  <c r="H81" i="17"/>
  <c r="E101" i="13" a="1"/>
  <c r="E90" i="13" a="1"/>
  <c r="G107" i="13" a="1"/>
  <c r="G106" i="13" a="1"/>
  <c r="G95" i="13" a="1"/>
  <c r="I86" i="17"/>
  <c r="F110" i="13" a="1"/>
  <c r="AA94" i="17"/>
  <c r="E89" i="13" a="1"/>
  <c r="G101" i="13" a="1"/>
  <c r="AB87" i="17"/>
  <c r="G89" i="13" a="1"/>
  <c r="G91" i="13" a="1"/>
  <c r="R93" i="17"/>
  <c r="E93" i="13" a="1"/>
  <c r="H88" i="17"/>
  <c r="S95" i="17"/>
  <c r="I16" i="17"/>
  <c r="H86" i="17"/>
  <c r="AA87" i="17"/>
  <c r="H16" i="17"/>
  <c r="E103" i="13" a="1"/>
  <c r="R94" i="17"/>
  <c r="E92" i="13" a="1"/>
  <c r="S92" i="17"/>
  <c r="I83" i="17"/>
  <c r="E110" i="13" a="1"/>
  <c r="Q93" i="17"/>
  <c r="AB94" i="17"/>
  <c r="E85" i="13" a="1"/>
  <c r="AA93" i="17"/>
  <c r="R95" i="17"/>
  <c r="E102" i="13" a="1"/>
  <c r="E112" i="13" a="1"/>
  <c r="H83" i="17"/>
  <c r="E113" i="13" a="1"/>
  <c r="E98" i="13" a="1"/>
  <c r="AA92" i="17"/>
  <c r="I19" i="17"/>
  <c r="AC93" i="17"/>
  <c r="I81" i="17"/>
  <c r="H19" i="17"/>
  <c r="F85" i="13" a="1"/>
  <c r="E84" i="13" a="1"/>
  <c r="G100" i="13" a="1"/>
  <c r="E104" i="13" a="1"/>
  <c r="R92" i="17"/>
  <c r="E97" i="13" a="1"/>
  <c r="F89" i="13" a="1"/>
  <c r="G105" i="13" a="1"/>
  <c r="G97" i="13" a="1"/>
  <c r="I22" i="17"/>
  <c r="I88" i="17"/>
  <c r="E88" i="13" a="1"/>
  <c r="G99" i="13" a="1"/>
  <c r="Q94" i="17"/>
  <c r="F98" i="13" a="1"/>
  <c r="I17" i="17"/>
  <c r="E105" i="13" a="1"/>
  <c r="G86" i="13" a="1"/>
  <c r="Q92" i="17"/>
  <c r="E87" i="13" a="1"/>
  <c r="AC92" i="17"/>
  <c r="AC94" i="17"/>
  <c r="G109" i="13" a="1"/>
  <c r="E109" i="13" a="1"/>
  <c r="F95" i="13" a="1"/>
  <c r="E100" i="13" a="1"/>
  <c r="E107" i="13" a="1"/>
  <c r="G87" i="13" a="1"/>
  <c r="G85" i="13" a="1"/>
  <c r="H17" i="17"/>
  <c r="AB93" i="17"/>
  <c r="E114" i="13" a="1"/>
  <c r="G112" i="13" a="1"/>
  <c r="G114" i="13" a="1"/>
  <c r="E91" i="13" a="1"/>
  <c r="F91" i="13" a="1"/>
  <c r="G108" i="13" a="1"/>
  <c r="G96" i="13" a="1"/>
  <c r="E96" i="13" a="1"/>
  <c r="E108" i="13" a="1"/>
  <c r="E99" i="13" a="1"/>
  <c r="S93" i="17"/>
  <c r="G102" i="13" a="1"/>
  <c r="Q95" i="17"/>
  <c r="G111" i="13" a="1"/>
  <c r="G113" i="13" a="1"/>
  <c r="G104" i="13" a="1"/>
  <c r="F93" i="13" a="1"/>
  <c r="AC87" i="17"/>
  <c r="F102" i="13" a="1"/>
  <c r="G84" i="13" a="1"/>
  <c r="G98" i="13" a="1"/>
  <c r="E94" i="13" a="1"/>
  <c r="G90" i="13" a="1"/>
  <c r="G88" i="13" a="1"/>
  <c r="F88" i="13" a="1"/>
  <c r="G103" i="13" a="1"/>
  <c r="AB92" i="17"/>
  <c r="F106" i="13" a="1"/>
  <c r="E95" i="13" a="1"/>
  <c r="E86" i="13" a="1"/>
  <c r="F90" i="13" a="1"/>
  <c r="H22" i="17"/>
  <c r="F87" i="13" a="1"/>
  <c r="E106" i="13" a="1"/>
  <c r="E111" i="13" a="1"/>
  <c r="S94" i="17"/>
  <c r="AN7" i="17" l="1"/>
  <c r="AQ7" i="17" s="1"/>
  <c r="AQ16" i="17"/>
  <c r="AR16" i="17" s="1"/>
  <c r="AT16" i="17" s="1"/>
  <c r="AQ30" i="17"/>
  <c r="AR30" i="17" s="1"/>
  <c r="AQ23" i="17"/>
  <c r="AR23" i="17" s="1"/>
  <c r="AQ25" i="17"/>
  <c r="AR25" i="17" s="1"/>
  <c r="AQ11" i="17"/>
  <c r="AR11" i="17" s="1"/>
  <c r="AT11" i="17" s="1"/>
  <c r="AQ33" i="17"/>
  <c r="AR33" i="17" s="1"/>
  <c r="AQ28" i="17"/>
  <c r="AR28" i="17" s="1"/>
  <c r="AQ10" i="17"/>
  <c r="AR10" i="17" s="1"/>
  <c r="AT10" i="17" s="1"/>
  <c r="AQ9" i="17"/>
  <c r="AR9" i="17" s="1"/>
  <c r="AR4" i="17" s="1"/>
  <c r="AQ24" i="17"/>
  <c r="AR24" i="17" s="1"/>
  <c r="AQ36" i="17"/>
  <c r="AR36" i="17" s="1"/>
  <c r="AQ29" i="17"/>
  <c r="AR29" i="17" s="1"/>
  <c r="AQ21" i="17"/>
  <c r="AR21" i="17" s="1"/>
  <c r="AT21" i="17" s="1"/>
  <c r="AQ32" i="17"/>
  <c r="AR32" i="17" s="1"/>
  <c r="AQ31" i="17"/>
  <c r="AR31" i="17" s="1"/>
  <c r="AQ19" i="17"/>
  <c r="AR19" i="17" s="1"/>
  <c r="AT19" i="17" s="1"/>
  <c r="AQ27" i="17"/>
  <c r="AR27" i="17" s="1"/>
  <c r="AQ12" i="17"/>
  <c r="AR12" i="17" s="1"/>
  <c r="AT12" i="17" s="1"/>
  <c r="AQ20" i="17"/>
  <c r="AR20" i="17" s="1"/>
  <c r="AT20" i="17" s="1"/>
  <c r="AQ14" i="17"/>
  <c r="AR14" i="17" s="1"/>
  <c r="AT14" i="17" s="1"/>
  <c r="AQ22" i="17"/>
  <c r="AR22" i="17" s="1"/>
  <c r="AT22" i="17" s="1"/>
  <c r="AQ34" i="17"/>
  <c r="AR34" i="17" s="1"/>
  <c r="AQ35" i="17"/>
  <c r="AR35" i="17" s="1"/>
  <c r="AQ37" i="17"/>
  <c r="AR37" i="17" s="1"/>
  <c r="AQ17" i="17"/>
  <c r="AR17" i="17" s="1"/>
  <c r="AT17" i="17" s="1"/>
  <c r="AQ18" i="17"/>
  <c r="AR18" i="17" s="1"/>
  <c r="AT18" i="17" s="1"/>
  <c r="AQ26" i="17"/>
  <c r="AR26" i="17" s="1"/>
  <c r="AQ13" i="17"/>
  <c r="AR13" i="17" s="1"/>
  <c r="AT13" i="17" s="1"/>
  <c r="AQ8" i="17"/>
  <c r="AR8" i="17" s="1"/>
  <c r="AQ38" i="17"/>
  <c r="AR38" i="17" s="1"/>
  <c r="K49" i="13"/>
  <c r="AE94" i="17"/>
  <c r="AE93" i="17"/>
  <c r="AE92" i="17"/>
  <c r="AE87" i="17"/>
  <c r="X95" i="17"/>
  <c r="X102" i="17"/>
  <c r="X101" i="17"/>
  <c r="X100" i="17"/>
  <c r="U93" i="17"/>
  <c r="U95" i="17"/>
  <c r="U94" i="17"/>
  <c r="U92" i="17"/>
  <c r="N101" i="17"/>
  <c r="N103" i="17"/>
  <c r="N102" i="17"/>
  <c r="N100" i="17"/>
  <c r="K83" i="17"/>
  <c r="K86" i="17"/>
  <c r="K81" i="17"/>
  <c r="K88" i="17"/>
  <c r="K17" i="17"/>
  <c r="K22" i="17"/>
  <c r="K16" i="17"/>
  <c r="K19" i="17"/>
  <c r="B66" i="15"/>
  <c r="B67" i="15"/>
  <c r="L16" i="15"/>
  <c r="B64" i="15" s="1"/>
  <c r="B23" i="15"/>
  <c r="E88" i="13"/>
  <c r="E104" i="13"/>
  <c r="G99" i="13"/>
  <c r="G107" i="13"/>
  <c r="E96" i="13"/>
  <c r="E112" i="13"/>
  <c r="F96" i="13"/>
  <c r="E100" i="13"/>
  <c r="E108" i="13"/>
  <c r="G100" i="13"/>
  <c r="G85" i="13"/>
  <c r="G101" i="13"/>
  <c r="E86" i="13"/>
  <c r="E94" i="13"/>
  <c r="E102" i="13"/>
  <c r="E110" i="13"/>
  <c r="G86" i="13"/>
  <c r="F94" i="13"/>
  <c r="F102" i="13"/>
  <c r="F110" i="13"/>
  <c r="G108" i="13"/>
  <c r="E85" i="13"/>
  <c r="F93" i="13"/>
  <c r="G109" i="13"/>
  <c r="F87" i="13"/>
  <c r="G103" i="13"/>
  <c r="G111" i="13"/>
  <c r="G92" i="13"/>
  <c r="F88" i="13"/>
  <c r="G112" i="13"/>
  <c r="G97" i="13"/>
  <c r="G105" i="13"/>
  <c r="G113" i="13"/>
  <c r="E90" i="13"/>
  <c r="E98" i="13"/>
  <c r="E106" i="13"/>
  <c r="E114" i="13"/>
  <c r="G84" i="13"/>
  <c r="G104" i="13"/>
  <c r="E89" i="13"/>
  <c r="F98" i="13"/>
  <c r="F106" i="13"/>
  <c r="G114" i="13"/>
  <c r="F95" i="13"/>
  <c r="G95" i="13"/>
  <c r="E84" i="13"/>
  <c r="G96" i="13"/>
  <c r="E99" i="13"/>
  <c r="E103" i="13"/>
  <c r="E107" i="13"/>
  <c r="E111" i="13"/>
  <c r="F85" i="13"/>
  <c r="E87" i="13"/>
  <c r="G87" i="13"/>
  <c r="F89" i="13"/>
  <c r="E91" i="13"/>
  <c r="G88" i="13"/>
  <c r="F90" i="13"/>
  <c r="E92" i="13"/>
  <c r="E97" i="13"/>
  <c r="G98" i="13"/>
  <c r="E101" i="13"/>
  <c r="G102" i="13"/>
  <c r="E105" i="13"/>
  <c r="G106" i="13"/>
  <c r="E109" i="13"/>
  <c r="G110" i="13"/>
  <c r="E113" i="13"/>
  <c r="G89" i="13"/>
  <c r="F91" i="13"/>
  <c r="E93" i="13"/>
  <c r="G90" i="13"/>
  <c r="G91" i="13"/>
  <c r="E95" i="13"/>
  <c r="H17" i="13"/>
  <c r="B87" i="13"/>
  <c r="B18" i="13"/>
  <c r="AH11" i="13"/>
  <c r="B53" i="13"/>
  <c r="K52" i="13"/>
  <c r="BB64" i="13"/>
  <c r="K50" i="13"/>
  <c r="AD19" i="13"/>
  <c r="AE19" i="13" s="1"/>
  <c r="AD35" i="13"/>
  <c r="AE35" i="13" s="1"/>
  <c r="AV66" i="13"/>
  <c r="AX70" i="13"/>
  <c r="AY70" i="13" s="1"/>
  <c r="BA70" i="13" s="1"/>
  <c r="AX86" i="13"/>
  <c r="AY86" i="13" s="1"/>
  <c r="AB12" i="13"/>
  <c r="AD14" i="13"/>
  <c r="AE14" i="13" s="1"/>
  <c r="H16" i="13"/>
  <c r="AD28" i="13"/>
  <c r="AE28" i="13" s="1"/>
  <c r="B85" i="13"/>
  <c r="AX87" i="13"/>
  <c r="AY87" i="13" s="1"/>
  <c r="AD21" i="13"/>
  <c r="AE21" i="13" s="1"/>
  <c r="AD37" i="13"/>
  <c r="AE37" i="13" s="1"/>
  <c r="AX66" i="13"/>
  <c r="AY66" i="13" s="1"/>
  <c r="BA66" i="13" s="1"/>
  <c r="AX76" i="13"/>
  <c r="AY76" i="13" s="1"/>
  <c r="BA76" i="13" s="1"/>
  <c r="B86" i="13"/>
  <c r="AX88" i="13"/>
  <c r="AY88" i="13" s="1"/>
  <c r="AD30" i="13"/>
  <c r="AE30" i="13" s="1"/>
  <c r="AX79" i="13"/>
  <c r="AY79" i="13" s="1"/>
  <c r="BA79" i="13" s="1"/>
  <c r="AX81" i="13"/>
  <c r="AY81" i="13" s="1"/>
  <c r="AD23" i="13"/>
  <c r="AE23" i="13" s="1"/>
  <c r="AD39" i="13"/>
  <c r="AE39" i="13" s="1"/>
  <c r="K51" i="13"/>
  <c r="AX90" i="13"/>
  <c r="AY90" i="13" s="1"/>
  <c r="Q8" i="13"/>
  <c r="H8" i="13" s="1"/>
  <c r="AX69" i="13"/>
  <c r="AY69" i="13" s="1"/>
  <c r="BA69" i="13" s="1"/>
  <c r="AD41" i="13"/>
  <c r="AE41" i="13" s="1"/>
  <c r="AX65" i="13"/>
  <c r="AY65" i="13" s="1"/>
  <c r="BA65" i="13" s="1"/>
  <c r="AX72" i="13"/>
  <c r="AY72" i="13" s="1"/>
  <c r="BA72" i="13" s="1"/>
  <c r="AX92" i="13"/>
  <c r="AY92" i="13" s="1"/>
  <c r="Q9" i="13"/>
  <c r="H9" i="13" s="1"/>
  <c r="AD13" i="13"/>
  <c r="AE13" i="13" s="1"/>
  <c r="AX78" i="13"/>
  <c r="AY78" i="13" s="1"/>
  <c r="BA78" i="13" s="1"/>
  <c r="AX94" i="13"/>
  <c r="AY94" i="13" s="1"/>
  <c r="AD10" i="13"/>
  <c r="AE10" i="13" s="1"/>
  <c r="AD20" i="13"/>
  <c r="AE20" i="13" s="1"/>
  <c r="AD29" i="13"/>
  <c r="AE29" i="13" s="1"/>
  <c r="AX71" i="13"/>
  <c r="AY71" i="13" s="1"/>
  <c r="BA71" i="13" s="1"/>
  <c r="AD31" i="13"/>
  <c r="AE31" i="13" s="1"/>
  <c r="AX80" i="13"/>
  <c r="AY80" i="13" s="1"/>
  <c r="D20" i="8"/>
  <c r="AB96" i="17"/>
  <c r="H26" i="17"/>
  <c r="H85" i="17"/>
  <c r="S98" i="17"/>
  <c r="H90" i="17"/>
  <c r="AC97" i="17"/>
  <c r="F101" i="13" a="1"/>
  <c r="AB98" i="17"/>
  <c r="F97" i="13" a="1"/>
  <c r="F99" i="13" a="1"/>
  <c r="F100" i="13" a="1"/>
  <c r="F107" i="13" a="1"/>
  <c r="F84" i="13" a="1"/>
  <c r="I21" i="17"/>
  <c r="F112" i="13" a="1"/>
  <c r="I20" i="17"/>
  <c r="R98" i="17"/>
  <c r="AB97" i="17"/>
  <c r="I85" i="17"/>
  <c r="F103" i="13" a="1"/>
  <c r="AB91" i="17"/>
  <c r="AA97" i="17"/>
  <c r="H87" i="17"/>
  <c r="I90" i="17"/>
  <c r="AC91" i="17"/>
  <c r="F86" i="13" a="1"/>
  <c r="F92" i="13" a="1"/>
  <c r="Q96" i="17"/>
  <c r="I23" i="17"/>
  <c r="F105" i="13" a="1"/>
  <c r="I87" i="17"/>
  <c r="G94" i="13" a="1"/>
  <c r="AA91" i="17"/>
  <c r="H20" i="17"/>
  <c r="S97" i="17"/>
  <c r="R97" i="17"/>
  <c r="H23" i="17"/>
  <c r="F113" i="13" a="1"/>
  <c r="H21" i="17"/>
  <c r="F111" i="13" a="1"/>
  <c r="F108" i="13" a="1"/>
  <c r="G93" i="13" a="1"/>
  <c r="F104" i="13" a="1"/>
  <c r="AC98" i="17"/>
  <c r="AC96" i="17"/>
  <c r="H92" i="17"/>
  <c r="S99" i="17"/>
  <c r="Q97" i="17"/>
  <c r="Q98" i="17"/>
  <c r="I92" i="17"/>
  <c r="I26" i="17"/>
  <c r="S96" i="17"/>
  <c r="R96" i="17"/>
  <c r="F114" i="13" a="1"/>
  <c r="F109" i="13" a="1"/>
  <c r="AA96" i="17"/>
  <c r="AA98" i="17"/>
  <c r="Q99" i="17"/>
  <c r="R99" i="17"/>
  <c r="AT9" i="17" l="1"/>
  <c r="AT8" i="17"/>
  <c r="AE97" i="17"/>
  <c r="AE98" i="17"/>
  <c r="AE91" i="17"/>
  <c r="AE96" i="17"/>
  <c r="X105" i="17"/>
  <c r="X106" i="17"/>
  <c r="X99" i="17"/>
  <c r="X104" i="17"/>
  <c r="U99" i="17"/>
  <c r="U97" i="17"/>
  <c r="U96" i="17"/>
  <c r="U98" i="17"/>
  <c r="N107" i="17"/>
  <c r="N106" i="17"/>
  <c r="N105" i="17"/>
  <c r="N104" i="17"/>
  <c r="K87" i="17"/>
  <c r="K92" i="17"/>
  <c r="K90" i="17"/>
  <c r="K85" i="17"/>
  <c r="K23" i="17"/>
  <c r="K26" i="17"/>
  <c r="K21" i="17"/>
  <c r="K20" i="17"/>
  <c r="B24" i="15"/>
  <c r="B25" i="15" s="1"/>
  <c r="F84" i="13"/>
  <c r="I84" i="13" s="1"/>
  <c r="F97" i="13"/>
  <c r="H97" i="13" s="1"/>
  <c r="F114" i="13"/>
  <c r="H114" i="13" s="1"/>
  <c r="F112" i="13"/>
  <c r="J112" i="13" s="1"/>
  <c r="F108" i="13"/>
  <c r="I108" i="13" s="1"/>
  <c r="F104" i="13"/>
  <c r="I104" i="13" s="1"/>
  <c r="F92" i="13"/>
  <c r="H92" i="13" s="1"/>
  <c r="F101" i="13"/>
  <c r="I101" i="13" s="1"/>
  <c r="F107" i="13"/>
  <c r="J107" i="13" s="1"/>
  <c r="F103" i="13"/>
  <c r="H103" i="13" s="1"/>
  <c r="G93" i="13"/>
  <c r="H93" i="13" s="1"/>
  <c r="F111" i="13"/>
  <c r="J111" i="13" s="1"/>
  <c r="F99" i="13"/>
  <c r="I99" i="13" s="1"/>
  <c r="F100" i="13"/>
  <c r="J100" i="13" s="1"/>
  <c r="F113" i="13"/>
  <c r="H113" i="13" s="1"/>
  <c r="F109" i="13"/>
  <c r="H109" i="13" s="1"/>
  <c r="G94" i="13"/>
  <c r="I94" i="13" s="1"/>
  <c r="F105" i="13"/>
  <c r="J105" i="13" s="1"/>
  <c r="F86" i="13"/>
  <c r="H86" i="13" s="1"/>
  <c r="K53" i="13"/>
  <c r="B54" i="13"/>
  <c r="J110" i="13"/>
  <c r="I110" i="13"/>
  <c r="H110" i="13"/>
  <c r="BB65" i="13"/>
  <c r="J102" i="13"/>
  <c r="I102" i="13"/>
  <c r="H102" i="13"/>
  <c r="J93" i="13"/>
  <c r="J94" i="13"/>
  <c r="AH10" i="13"/>
  <c r="AB13" i="13"/>
  <c r="AC12" i="13"/>
  <c r="AH12" i="13" s="1"/>
  <c r="B19" i="13"/>
  <c r="B88" i="13"/>
  <c r="H18" i="13"/>
  <c r="J95" i="13"/>
  <c r="I95" i="13"/>
  <c r="H95" i="13"/>
  <c r="AV67" i="13"/>
  <c r="AW66" i="13"/>
  <c r="BB66" i="13" s="1"/>
  <c r="J91" i="13"/>
  <c r="I91" i="13"/>
  <c r="H91" i="13"/>
  <c r="I89" i="13"/>
  <c r="H89" i="13"/>
  <c r="J89" i="13"/>
  <c r="J106" i="13"/>
  <c r="I106" i="13"/>
  <c r="H106" i="13"/>
  <c r="J98" i="13"/>
  <c r="I98" i="13"/>
  <c r="H98" i="13"/>
  <c r="H90" i="13"/>
  <c r="J90" i="13"/>
  <c r="I90" i="13"/>
  <c r="J85" i="13"/>
  <c r="I85" i="13"/>
  <c r="H85" i="13"/>
  <c r="J87" i="13"/>
  <c r="I87" i="13"/>
  <c r="H87" i="13"/>
  <c r="J96" i="13"/>
  <c r="I96" i="13"/>
  <c r="H96" i="13"/>
  <c r="J88" i="13"/>
  <c r="I88" i="13"/>
  <c r="H88" i="13"/>
  <c r="AC101" i="17"/>
  <c r="S102" i="17"/>
  <c r="H94" i="17"/>
  <c r="S100" i="17"/>
  <c r="Q100" i="17"/>
  <c r="AC100" i="17"/>
  <c r="R103" i="17"/>
  <c r="H27" i="17"/>
  <c r="H25" i="17"/>
  <c r="Q101" i="17"/>
  <c r="H89" i="17"/>
  <c r="R101" i="17"/>
  <c r="H30" i="17"/>
  <c r="H96" i="17"/>
  <c r="H91" i="17"/>
  <c r="AA101" i="17"/>
  <c r="AC95" i="17"/>
  <c r="Q103" i="17"/>
  <c r="R100" i="17"/>
  <c r="J24" i="16" a="1"/>
  <c r="S103" i="17"/>
  <c r="R102" i="17"/>
  <c r="I30" i="17"/>
  <c r="I25" i="17"/>
  <c r="I94" i="17"/>
  <c r="H24" i="17"/>
  <c r="AA102" i="17"/>
  <c r="I27" i="17"/>
  <c r="I91" i="17"/>
  <c r="I89" i="17"/>
  <c r="AB101" i="17"/>
  <c r="AC102" i="17"/>
  <c r="I96" i="17"/>
  <c r="AB95" i="17"/>
  <c r="Q102" i="17"/>
  <c r="S101" i="17"/>
  <c r="AA95" i="17"/>
  <c r="AB100" i="17"/>
  <c r="I24" i="17"/>
  <c r="AB102" i="17"/>
  <c r="AA100" i="17"/>
  <c r="AE102" i="17" l="1"/>
  <c r="AE101" i="17"/>
  <c r="AE95" i="17"/>
  <c r="AE100" i="17"/>
  <c r="X103" i="17"/>
  <c r="X110" i="17"/>
  <c r="X109" i="17"/>
  <c r="X108" i="17"/>
  <c r="U101" i="17"/>
  <c r="U102" i="17"/>
  <c r="U103" i="17"/>
  <c r="U100" i="17"/>
  <c r="N110" i="17"/>
  <c r="N111" i="17"/>
  <c r="N109" i="17"/>
  <c r="N108" i="17"/>
  <c r="K96" i="17"/>
  <c r="K91" i="17"/>
  <c r="K94" i="17"/>
  <c r="K89" i="17"/>
  <c r="K27" i="17"/>
  <c r="K24" i="17"/>
  <c r="K25" i="17"/>
  <c r="K30" i="17"/>
  <c r="J24" i="16"/>
  <c r="B65" i="15" s="1"/>
  <c r="I107" i="13"/>
  <c r="J84" i="13"/>
  <c r="H107" i="13"/>
  <c r="B26" i="15"/>
  <c r="I114" i="13"/>
  <c r="J104" i="13"/>
  <c r="I86" i="13"/>
  <c r="J114" i="13"/>
  <c r="J113" i="13"/>
  <c r="J103" i="13"/>
  <c r="H101" i="13"/>
  <c r="J101" i="13"/>
  <c r="H112" i="13"/>
  <c r="I113" i="13"/>
  <c r="J86" i="13"/>
  <c r="I103" i="13"/>
  <c r="I97" i="13"/>
  <c r="H94" i="13"/>
  <c r="J97" i="13"/>
  <c r="H84" i="13"/>
  <c r="I105" i="13"/>
  <c r="J108" i="13"/>
  <c r="H105" i="13"/>
  <c r="H100" i="13"/>
  <c r="I100" i="13"/>
  <c r="I109" i="13"/>
  <c r="H99" i="13"/>
  <c r="J109" i="13"/>
  <c r="J99" i="13"/>
  <c r="I112" i="13"/>
  <c r="AB14" i="13"/>
  <c r="AC13" i="13"/>
  <c r="AH13" i="13" s="1"/>
  <c r="I92" i="13"/>
  <c r="B55" i="13"/>
  <c r="K54" i="13"/>
  <c r="H104" i="13"/>
  <c r="J92" i="13"/>
  <c r="I111" i="13"/>
  <c r="H108" i="13"/>
  <c r="H111" i="13"/>
  <c r="H19" i="13"/>
  <c r="B89" i="13"/>
  <c r="B20" i="13"/>
  <c r="I93" i="13"/>
  <c r="AW67" i="13"/>
  <c r="BB67" i="13" s="1"/>
  <c r="AV68" i="13"/>
  <c r="H95" i="17"/>
  <c r="AB105" i="17"/>
  <c r="AA99" i="17"/>
  <c r="AA105" i="17"/>
  <c r="Q106" i="17"/>
  <c r="I98" i="17"/>
  <c r="I31" i="17"/>
  <c r="S107" i="17"/>
  <c r="R105" i="17"/>
  <c r="AB104" i="17"/>
  <c r="I93" i="17"/>
  <c r="H98" i="17"/>
  <c r="I29" i="17"/>
  <c r="R104" i="17"/>
  <c r="I100" i="17"/>
  <c r="I34" i="17"/>
  <c r="AA104" i="17"/>
  <c r="AC104" i="17"/>
  <c r="S104" i="17"/>
  <c r="H93" i="17"/>
  <c r="H28" i="17"/>
  <c r="Q107" i="17"/>
  <c r="H34" i="17"/>
  <c r="Q105" i="17"/>
  <c r="H100" i="17"/>
  <c r="R106" i="17"/>
  <c r="AB106" i="17"/>
  <c r="Q104" i="17"/>
  <c r="AC99" i="17"/>
  <c r="I28" i="17"/>
  <c r="S105" i="17"/>
  <c r="AC106" i="17"/>
  <c r="I95" i="17"/>
  <c r="S106" i="17"/>
  <c r="AA106" i="17"/>
  <c r="H31" i="17"/>
  <c r="AB99" i="17"/>
  <c r="R107" i="17"/>
  <c r="H29" i="17"/>
  <c r="AC105" i="17"/>
  <c r="AE106" i="17" l="1"/>
  <c r="AE99" i="17"/>
  <c r="AE105" i="17"/>
  <c r="AE104" i="17"/>
  <c r="X113" i="17"/>
  <c r="X114" i="17"/>
  <c r="X107" i="17"/>
  <c r="X112" i="17"/>
  <c r="U105" i="17"/>
  <c r="U107" i="17"/>
  <c r="U106" i="17"/>
  <c r="U104" i="17"/>
  <c r="N115" i="17"/>
  <c r="N114" i="17"/>
  <c r="N113" i="17"/>
  <c r="N112" i="17"/>
  <c r="K98" i="17"/>
  <c r="K93" i="17"/>
  <c r="K95" i="17"/>
  <c r="K100" i="17"/>
  <c r="K34" i="17"/>
  <c r="K29" i="17"/>
  <c r="K31" i="17"/>
  <c r="K28" i="17"/>
  <c r="B27" i="15"/>
  <c r="AW68" i="13"/>
  <c r="AV69" i="13"/>
  <c r="B56" i="13"/>
  <c r="K55" i="13"/>
  <c r="B21" i="13"/>
  <c r="B90" i="13"/>
  <c r="H20" i="13"/>
  <c r="AB15" i="13"/>
  <c r="AC14" i="13"/>
  <c r="AB109" i="17"/>
  <c r="S110" i="17"/>
  <c r="I32" i="17"/>
  <c r="AC103" i="17"/>
  <c r="H35" i="17"/>
  <c r="S111" i="17"/>
  <c r="R110" i="17"/>
  <c r="H99" i="17"/>
  <c r="AA108" i="17"/>
  <c r="AC109" i="17"/>
  <c r="I33" i="17"/>
  <c r="I102" i="17"/>
  <c r="Q110" i="17"/>
  <c r="AC108" i="17"/>
  <c r="AB108" i="17"/>
  <c r="H32" i="17"/>
  <c r="AA103" i="17"/>
  <c r="I38" i="17"/>
  <c r="I99" i="17"/>
  <c r="H33" i="17"/>
  <c r="AA109" i="17"/>
  <c r="R108" i="17"/>
  <c r="H102" i="17"/>
  <c r="Q111" i="17"/>
  <c r="S108" i="17"/>
  <c r="R109" i="17"/>
  <c r="Q109" i="17"/>
  <c r="H97" i="17"/>
  <c r="I97" i="17"/>
  <c r="AB103" i="17"/>
  <c r="AK11" i="17" a="1"/>
  <c r="AC110" i="17"/>
  <c r="AK12" i="17" a="1"/>
  <c r="I35" i="17"/>
  <c r="AA110" i="17"/>
  <c r="H38" i="17"/>
  <c r="AB110" i="17"/>
  <c r="S109" i="17"/>
  <c r="Q108" i="17"/>
  <c r="R111" i="17"/>
  <c r="AK11" i="17" l="1"/>
  <c r="AK12" i="17"/>
  <c r="AE110" i="17"/>
  <c r="AE109" i="17"/>
  <c r="AE108" i="17"/>
  <c r="AE103" i="17"/>
  <c r="X118" i="17"/>
  <c r="X117" i="17"/>
  <c r="X111" i="17"/>
  <c r="X116" i="17"/>
  <c r="U109" i="17"/>
  <c r="U110" i="17"/>
  <c r="U111" i="17"/>
  <c r="U108" i="17"/>
  <c r="N118" i="17"/>
  <c r="N117" i="17"/>
  <c r="N119" i="17"/>
  <c r="N116" i="17"/>
  <c r="K99" i="17"/>
  <c r="K102" i="17"/>
  <c r="K97" i="17"/>
  <c r="K32" i="17"/>
  <c r="K33" i="17"/>
  <c r="K38" i="17"/>
  <c r="K35" i="17"/>
  <c r="B28" i="15"/>
  <c r="H21" i="13"/>
  <c r="B91" i="13"/>
  <c r="B22" i="13"/>
  <c r="K56" i="13"/>
  <c r="B57" i="13"/>
  <c r="AH14" i="13"/>
  <c r="AC15" i="13"/>
  <c r="AH15" i="13" s="1"/>
  <c r="AB16" i="13"/>
  <c r="AV70" i="13"/>
  <c r="AW69" i="13"/>
  <c r="BB69" i="13" s="1"/>
  <c r="BB68" i="13"/>
  <c r="Q58" i="13"/>
  <c r="I37" i="17"/>
  <c r="S114" i="17"/>
  <c r="AK16" i="17" a="1"/>
  <c r="R112" i="17"/>
  <c r="AC112" i="17"/>
  <c r="I101" i="17"/>
  <c r="I42" i="17"/>
  <c r="H36" i="17"/>
  <c r="H37" i="17"/>
  <c r="AB113" i="17"/>
  <c r="I39" i="17"/>
  <c r="AA114" i="17"/>
  <c r="Q115" i="17"/>
  <c r="Q114" i="17"/>
  <c r="AB112" i="17"/>
  <c r="AK10" i="17" a="1"/>
  <c r="AB107" i="17"/>
  <c r="I36" i="17"/>
  <c r="AA112" i="17"/>
  <c r="AC113" i="17"/>
  <c r="AC107" i="17"/>
  <c r="H42" i="17"/>
  <c r="R113" i="17"/>
  <c r="Q112" i="17"/>
  <c r="I103" i="17"/>
  <c r="H39" i="17"/>
  <c r="S115" i="17"/>
  <c r="AA107" i="17"/>
  <c r="R115" i="17"/>
  <c r="AA113" i="17"/>
  <c r="H103" i="17"/>
  <c r="Q113" i="17"/>
  <c r="AK13" i="17" a="1"/>
  <c r="H101" i="17"/>
  <c r="S112" i="17"/>
  <c r="AB114" i="17"/>
  <c r="AC114" i="17"/>
  <c r="R114" i="17"/>
  <c r="S113" i="17"/>
  <c r="AK16" i="17" l="1"/>
  <c r="AK13" i="17"/>
  <c r="AK10" i="17"/>
  <c r="AR7" i="17"/>
  <c r="AE107" i="17"/>
  <c r="AE113" i="17"/>
  <c r="AE114" i="17"/>
  <c r="AE112" i="17"/>
  <c r="X115" i="17"/>
  <c r="X121" i="17"/>
  <c r="X122" i="17"/>
  <c r="X120" i="17"/>
  <c r="U115" i="17"/>
  <c r="U113" i="17"/>
  <c r="U114" i="17"/>
  <c r="U112" i="17"/>
  <c r="N123" i="17"/>
  <c r="N121" i="17"/>
  <c r="N122" i="17"/>
  <c r="N120" i="17"/>
  <c r="K101" i="17"/>
  <c r="K103" i="17"/>
  <c r="K36" i="17"/>
  <c r="K42" i="17"/>
  <c r="K39" i="17"/>
  <c r="K37" i="17"/>
  <c r="B29" i="15"/>
  <c r="AW70" i="13"/>
  <c r="BB70" i="13" s="1"/>
  <c r="AV71" i="13"/>
  <c r="B58" i="13"/>
  <c r="K57" i="13"/>
  <c r="AB17" i="13"/>
  <c r="AC16" i="13"/>
  <c r="B23" i="13"/>
  <c r="B92" i="13"/>
  <c r="H22" i="13"/>
  <c r="AK20" i="17" a="1"/>
  <c r="AK21" i="17" a="1"/>
  <c r="AK19" i="17" a="1"/>
  <c r="S117" i="17"/>
  <c r="S118" i="17"/>
  <c r="H46" i="17"/>
  <c r="I46" i="17"/>
  <c r="AB118" i="17"/>
  <c r="H43" i="17"/>
  <c r="AC118" i="17"/>
  <c r="S116" i="17"/>
  <c r="AB116" i="17"/>
  <c r="R118" i="17"/>
  <c r="R116" i="17"/>
  <c r="H40" i="17"/>
  <c r="AC116" i="17"/>
  <c r="AC111" i="17"/>
  <c r="AB111" i="17"/>
  <c r="AB117" i="17"/>
  <c r="I43" i="17"/>
  <c r="Q118" i="17"/>
  <c r="R117" i="17"/>
  <c r="AA118" i="17"/>
  <c r="I41" i="17"/>
  <c r="H41" i="17"/>
  <c r="AC117" i="17"/>
  <c r="AK15" i="17" a="1"/>
  <c r="R119" i="17"/>
  <c r="Q116" i="17"/>
  <c r="AA111" i="17"/>
  <c r="I40" i="17"/>
  <c r="AA116" i="17"/>
  <c r="S119" i="17"/>
  <c r="Q117" i="17"/>
  <c r="Q119" i="17"/>
  <c r="AA117" i="17"/>
  <c r="AK14" i="17" a="1"/>
  <c r="AK14" i="17" l="1"/>
  <c r="AT7" i="17"/>
  <c r="AT4" i="17"/>
  <c r="AK19" i="17"/>
  <c r="AK21" i="17"/>
  <c r="AK20" i="17"/>
  <c r="AK15" i="17"/>
  <c r="AE117" i="17"/>
  <c r="AE118" i="17"/>
  <c r="AE111" i="17"/>
  <c r="AE116" i="17"/>
  <c r="X126" i="17"/>
  <c r="X125" i="17"/>
  <c r="X119" i="17"/>
  <c r="X124" i="17"/>
  <c r="U117" i="17"/>
  <c r="U119" i="17"/>
  <c r="U118" i="17"/>
  <c r="U116" i="17"/>
  <c r="N126" i="17"/>
  <c r="N125" i="17"/>
  <c r="N127" i="17"/>
  <c r="N124" i="17"/>
  <c r="K40" i="17"/>
  <c r="K41" i="17"/>
  <c r="K46" i="17"/>
  <c r="K43" i="17"/>
  <c r="B30" i="15"/>
  <c r="B93" i="13"/>
  <c r="B24" i="13"/>
  <c r="H23" i="13"/>
  <c r="AH16" i="13"/>
  <c r="AC17" i="13"/>
  <c r="AH17" i="13" s="1"/>
  <c r="AB18" i="13"/>
  <c r="B59" i="13"/>
  <c r="K58" i="13"/>
  <c r="AM17" i="13"/>
  <c r="AW71" i="13"/>
  <c r="AV72" i="13"/>
  <c r="S121" i="17"/>
  <c r="R122" i="17"/>
  <c r="AA121" i="17"/>
  <c r="I45" i="17"/>
  <c r="Q122" i="17"/>
  <c r="S122" i="17"/>
  <c r="AK17" i="17" a="1"/>
  <c r="H45" i="17"/>
  <c r="AA120" i="17"/>
  <c r="AA115" i="17"/>
  <c r="AC122" i="17"/>
  <c r="H47" i="17"/>
  <c r="R121" i="17"/>
  <c r="AB122" i="17"/>
  <c r="H50" i="17"/>
  <c r="R120" i="17"/>
  <c r="R123" i="17"/>
  <c r="Q120" i="17"/>
  <c r="AK18" i="17" a="1"/>
  <c r="H44" i="17"/>
  <c r="I50" i="17"/>
  <c r="I47" i="17"/>
  <c r="AB115" i="17"/>
  <c r="I44" i="17"/>
  <c r="AC121" i="17"/>
  <c r="S120" i="17"/>
  <c r="AC120" i="17"/>
  <c r="S123" i="17"/>
  <c r="AB120" i="17"/>
  <c r="Q123" i="17"/>
  <c r="AC115" i="17"/>
  <c r="AB121" i="17"/>
  <c r="AA122" i="17"/>
  <c r="Q121" i="17"/>
  <c r="AK18" i="17" l="1"/>
  <c r="BA7" i="17"/>
  <c r="C401" i="14" s="1"/>
  <c r="AK17" i="17"/>
  <c r="AE115" i="17"/>
  <c r="AE121" i="17"/>
  <c r="AE122" i="17"/>
  <c r="AE120" i="17"/>
  <c r="X123" i="17"/>
  <c r="X129" i="17"/>
  <c r="X130" i="17"/>
  <c r="X128" i="17"/>
  <c r="U121" i="17"/>
  <c r="U122" i="17"/>
  <c r="U123" i="17"/>
  <c r="U120" i="17"/>
  <c r="N128" i="17"/>
  <c r="K44" i="17"/>
  <c r="K45" i="17"/>
  <c r="K47" i="17"/>
  <c r="K50" i="17"/>
  <c r="B31" i="15"/>
  <c r="AV73" i="13"/>
  <c r="AW72" i="13"/>
  <c r="BB72" i="13" s="1"/>
  <c r="BB71" i="13"/>
  <c r="K59" i="13"/>
  <c r="B60" i="13"/>
  <c r="AB19" i="13"/>
  <c r="AC18" i="13"/>
  <c r="B94" i="13"/>
  <c r="H24" i="13"/>
  <c r="B25" i="13"/>
  <c r="AK22" i="17" a="1"/>
  <c r="R125" i="17"/>
  <c r="AC119" i="17"/>
  <c r="AC125" i="17"/>
  <c r="AB126" i="17"/>
  <c r="Q126" i="17"/>
  <c r="S124" i="17"/>
  <c r="AA124" i="17"/>
  <c r="AB119" i="17"/>
  <c r="H51" i="17"/>
  <c r="AB125" i="17"/>
  <c r="H49" i="17"/>
  <c r="AA126" i="17"/>
  <c r="Q127" i="17"/>
  <c r="S127" i="17"/>
  <c r="R126" i="17"/>
  <c r="AC126" i="17"/>
  <c r="Q124" i="17"/>
  <c r="R127" i="17"/>
  <c r="H54" i="17"/>
  <c r="I48" i="17"/>
  <c r="I54" i="17"/>
  <c r="Q125" i="17"/>
  <c r="S125" i="17"/>
  <c r="AB124" i="17"/>
  <c r="I51" i="17"/>
  <c r="H48" i="17"/>
  <c r="AA125" i="17"/>
  <c r="AA119" i="17"/>
  <c r="AC124" i="17"/>
  <c r="R124" i="17"/>
  <c r="I49" i="17"/>
  <c r="S126" i="17"/>
  <c r="AK22" i="17" l="1"/>
  <c r="AE126" i="17"/>
  <c r="AE125" i="17"/>
  <c r="AE119" i="17"/>
  <c r="AE124" i="17"/>
  <c r="X134" i="17"/>
  <c r="X133" i="17"/>
  <c r="X127" i="17"/>
  <c r="X132" i="17"/>
  <c r="U126" i="17"/>
  <c r="U125" i="17"/>
  <c r="U127" i="17"/>
  <c r="U124" i="17"/>
  <c r="K54" i="17"/>
  <c r="K49" i="17"/>
  <c r="K51" i="17"/>
  <c r="K48" i="17"/>
  <c r="B32" i="15"/>
  <c r="B95" i="13"/>
  <c r="B26" i="13"/>
  <c r="H25" i="13"/>
  <c r="AH18" i="13"/>
  <c r="AC19" i="13"/>
  <c r="AH19" i="13" s="1"/>
  <c r="AB20" i="13"/>
  <c r="Q55" i="13"/>
  <c r="B61" i="13"/>
  <c r="K60" i="13"/>
  <c r="AV74" i="13"/>
  <c r="AW73" i="13"/>
  <c r="R128" i="17"/>
  <c r="AB129" i="17"/>
  <c r="H52" i="17"/>
  <c r="AC129" i="17"/>
  <c r="AC130" i="17"/>
  <c r="Q128" i="17"/>
  <c r="I58" i="17"/>
  <c r="AA128" i="17"/>
  <c r="AC123" i="17"/>
  <c r="H58" i="17"/>
  <c r="AA129" i="17"/>
  <c r="H53" i="17"/>
  <c r="H55" i="17"/>
  <c r="AB128" i="17"/>
  <c r="AB123" i="17"/>
  <c r="I53" i="17"/>
  <c r="S128" i="17"/>
  <c r="AB130" i="17"/>
  <c r="AA123" i="17"/>
  <c r="AC128" i="17"/>
  <c r="I52" i="17"/>
  <c r="AA130" i="17"/>
  <c r="I55" i="17"/>
  <c r="AE129" i="17" l="1"/>
  <c r="AE123" i="17"/>
  <c r="AE130" i="17"/>
  <c r="AE128" i="17"/>
  <c r="X131" i="17"/>
  <c r="X137" i="17"/>
  <c r="X138" i="17"/>
  <c r="X136" i="17"/>
  <c r="U128" i="17"/>
  <c r="K52" i="17"/>
  <c r="K55" i="17"/>
  <c r="K53" i="17"/>
  <c r="K58" i="17"/>
  <c r="B33" i="15"/>
  <c r="BB73" i="13"/>
  <c r="AW74" i="13"/>
  <c r="BB74" i="13" s="1"/>
  <c r="AV75" i="13"/>
  <c r="B62" i="13"/>
  <c r="K61" i="13"/>
  <c r="AC20" i="13"/>
  <c r="AH20" i="13" s="1"/>
  <c r="AB21" i="13"/>
  <c r="B96" i="13"/>
  <c r="H26" i="13"/>
  <c r="B27" i="13"/>
  <c r="I59" i="17"/>
  <c r="I56" i="17"/>
  <c r="AA127" i="17"/>
  <c r="AC132" i="17"/>
  <c r="H59" i="17"/>
  <c r="AA133" i="17"/>
  <c r="AB134" i="17"/>
  <c r="AB127" i="17"/>
  <c r="AB132" i="17"/>
  <c r="I62" i="17"/>
  <c r="AC127" i="17"/>
  <c r="AC133" i="17"/>
  <c r="AA132" i="17"/>
  <c r="H57" i="17"/>
  <c r="AA134" i="17"/>
  <c r="H62" i="17"/>
  <c r="AB133" i="17"/>
  <c r="H56" i="17"/>
  <c r="AC134" i="17"/>
  <c r="I57" i="17"/>
  <c r="AE134" i="17" l="1"/>
  <c r="AE133" i="17"/>
  <c r="AE127" i="17"/>
  <c r="AE132" i="17"/>
  <c r="X142" i="17"/>
  <c r="X141" i="17"/>
  <c r="X135" i="17"/>
  <c r="X140" i="17"/>
  <c r="K59" i="17"/>
  <c r="K56" i="17"/>
  <c r="K57" i="17"/>
  <c r="K62" i="17"/>
  <c r="B34" i="15"/>
  <c r="B28" i="13"/>
  <c r="B97" i="13"/>
  <c r="H27" i="13"/>
  <c r="AM15" i="13"/>
  <c r="AB22" i="13"/>
  <c r="AC21" i="13"/>
  <c r="AH21" i="13" s="1"/>
  <c r="B63" i="13"/>
  <c r="K62" i="13"/>
  <c r="AW75" i="13"/>
  <c r="BB75" i="13" s="1"/>
  <c r="AV76" i="13"/>
  <c r="AA136" i="17"/>
  <c r="AC137" i="17"/>
  <c r="H60" i="17"/>
  <c r="AB137" i="17"/>
  <c r="AB136" i="17"/>
  <c r="AA138" i="17"/>
  <c r="AA131" i="17"/>
  <c r="I66" i="17"/>
  <c r="H66" i="17"/>
  <c r="H61" i="17"/>
  <c r="I60" i="17"/>
  <c r="AA137" i="17"/>
  <c r="AB138" i="17"/>
  <c r="AC131" i="17"/>
  <c r="AC136" i="17"/>
  <c r="AC138" i="17"/>
  <c r="H63" i="17"/>
  <c r="AB131" i="17"/>
  <c r="I61" i="17"/>
  <c r="I63" i="17"/>
  <c r="AE131" i="17" l="1"/>
  <c r="AE137" i="17"/>
  <c r="AE138" i="17"/>
  <c r="AE136" i="17"/>
  <c r="X145" i="17"/>
  <c r="X146" i="17"/>
  <c r="X139" i="17"/>
  <c r="X144" i="17"/>
  <c r="K63" i="17"/>
  <c r="K66" i="17"/>
  <c r="K61" i="17"/>
  <c r="K60" i="17"/>
  <c r="B35" i="15"/>
  <c r="AV77" i="13"/>
  <c r="AW76" i="13"/>
  <c r="B64" i="13"/>
  <c r="K63" i="13"/>
  <c r="Q52" i="13"/>
  <c r="AC22" i="13"/>
  <c r="AH22" i="13" s="1"/>
  <c r="AB23" i="13"/>
  <c r="H28" i="13"/>
  <c r="B98" i="13"/>
  <c r="B29" i="13"/>
  <c r="AB135" i="17"/>
  <c r="AC142" i="17"/>
  <c r="I67" i="17"/>
  <c r="AB142" i="17"/>
  <c r="AA140" i="17"/>
  <c r="H64" i="17"/>
  <c r="AA135" i="17"/>
  <c r="AL11" i="17" a="1"/>
  <c r="AC135" i="17"/>
  <c r="AB140" i="17"/>
  <c r="AA141" i="17"/>
  <c r="I64" i="17"/>
  <c r="H67" i="17"/>
  <c r="AL12" i="17" a="1"/>
  <c r="H65" i="17"/>
  <c r="AC140" i="17"/>
  <c r="I65" i="17"/>
  <c r="AC141" i="17"/>
  <c r="AB141" i="17"/>
  <c r="AA142" i="17"/>
  <c r="AL11" i="17" l="1"/>
  <c r="AM11" i="17" s="1"/>
  <c r="AV11" i="17" s="1"/>
  <c r="AL12" i="17"/>
  <c r="AM12" i="17" s="1"/>
  <c r="AV12" i="17" s="1"/>
  <c r="AE135" i="17"/>
  <c r="AE142" i="17"/>
  <c r="AE141" i="17"/>
  <c r="AE140" i="17"/>
  <c r="X143" i="17"/>
  <c r="X150" i="17"/>
  <c r="X149" i="17"/>
  <c r="X148" i="17"/>
  <c r="K67" i="17"/>
  <c r="K64" i="17"/>
  <c r="K65" i="17"/>
  <c r="B36" i="15"/>
  <c r="B30" i="13"/>
  <c r="H29" i="13"/>
  <c r="B99" i="13"/>
  <c r="AB24" i="13"/>
  <c r="AC23" i="13"/>
  <c r="B65" i="13"/>
  <c r="K64" i="13"/>
  <c r="BB76" i="13"/>
  <c r="AW77" i="13"/>
  <c r="BB77" i="13" s="1"/>
  <c r="AV78" i="13"/>
  <c r="AA145" i="17"/>
  <c r="AA139" i="17"/>
  <c r="AA146" i="17"/>
  <c r="AB144" i="17"/>
  <c r="AL10" i="17" a="1"/>
  <c r="AB145" i="17"/>
  <c r="AA144" i="17"/>
  <c r="AC144" i="17"/>
  <c r="AL13" i="17" a="1"/>
  <c r="AB139" i="17"/>
  <c r="AC145" i="17"/>
  <c r="AC139" i="17"/>
  <c r="AL16" i="17" a="1"/>
  <c r="AC146" i="17"/>
  <c r="AB146" i="17"/>
  <c r="AL16" i="17" l="1"/>
  <c r="AM16" i="17" s="1"/>
  <c r="AV16" i="17" s="1"/>
  <c r="AL13" i="17"/>
  <c r="AM13" i="17" s="1"/>
  <c r="AV13" i="17" s="1"/>
  <c r="AL10" i="17"/>
  <c r="AM10" i="17" s="1"/>
  <c r="AV10" i="17" s="1"/>
  <c r="AE145" i="17"/>
  <c r="AE146" i="17"/>
  <c r="AE139" i="17"/>
  <c r="AE144" i="17"/>
  <c r="X153" i="17"/>
  <c r="X154" i="17"/>
  <c r="X147" i="17"/>
  <c r="X152" i="17"/>
  <c r="B37" i="15"/>
  <c r="AW78" i="13"/>
  <c r="BB78" i="13" s="1"/>
  <c r="AV79" i="13"/>
  <c r="B66" i="13"/>
  <c r="K65" i="13"/>
  <c r="AH23" i="13"/>
  <c r="AC24" i="13"/>
  <c r="AH24" i="13" s="1"/>
  <c r="AB25" i="13"/>
  <c r="B100" i="13"/>
  <c r="B31" i="13"/>
  <c r="H30" i="13"/>
  <c r="AL20" i="17" a="1"/>
  <c r="AL21" i="17" a="1"/>
  <c r="AL19" i="17" a="1"/>
  <c r="AA150" i="17"/>
  <c r="AC149" i="17"/>
  <c r="AC143" i="17"/>
  <c r="AB143" i="17"/>
  <c r="AB149" i="17"/>
  <c r="AL14" i="17" a="1"/>
  <c r="AB150" i="17"/>
  <c r="AA143" i="17"/>
  <c r="AC148" i="17"/>
  <c r="AC150" i="17"/>
  <c r="AL15" i="17" a="1"/>
  <c r="AA149" i="17"/>
  <c r="AB148" i="17"/>
  <c r="AA148" i="17"/>
  <c r="AL14" i="17" l="1"/>
  <c r="AM14" i="17" s="1"/>
  <c r="AV14" i="17" s="1"/>
  <c r="AL19" i="17"/>
  <c r="AM19" i="17" s="1"/>
  <c r="AV19" i="17" s="1"/>
  <c r="AL15" i="17"/>
  <c r="AM15" i="17" s="1"/>
  <c r="AV15" i="17" s="1"/>
  <c r="AL21" i="17"/>
  <c r="AM21" i="17" s="1"/>
  <c r="AV21" i="17" s="1"/>
  <c r="AL20" i="17"/>
  <c r="AM20" i="17" s="1"/>
  <c r="AV20" i="17" s="1"/>
  <c r="AE143" i="17"/>
  <c r="AE150" i="17"/>
  <c r="AE149" i="17"/>
  <c r="AE148" i="17"/>
  <c r="X151" i="17"/>
  <c r="X158" i="17"/>
  <c r="X157" i="17"/>
  <c r="X156" i="17"/>
  <c r="B38" i="15"/>
  <c r="B32" i="13"/>
  <c r="B101" i="13"/>
  <c r="AB26" i="13"/>
  <c r="AC25" i="13"/>
  <c r="AH25" i="13" s="1"/>
  <c r="AM13" i="13"/>
  <c r="K66" i="13"/>
  <c r="B67" i="13"/>
  <c r="AV80" i="13"/>
  <c r="AW79" i="13"/>
  <c r="AC153" i="17"/>
  <c r="AB153" i="17"/>
  <c r="AB154" i="17"/>
  <c r="AC152" i="17"/>
  <c r="AA153" i="17"/>
  <c r="AL17" i="17" a="1"/>
  <c r="AA147" i="17"/>
  <c r="AB147" i="17"/>
  <c r="AA152" i="17"/>
  <c r="AL18" i="17" a="1"/>
  <c r="AC154" i="17"/>
  <c r="AB152" i="17"/>
  <c r="AC147" i="17"/>
  <c r="AA154" i="17"/>
  <c r="AL18" i="17" l="1"/>
  <c r="AM18" i="17" s="1"/>
  <c r="AV18" i="17" s="1"/>
  <c r="AL17" i="17"/>
  <c r="AM17" i="17" s="1"/>
  <c r="AV17" i="17" s="1"/>
  <c r="AE154" i="17"/>
  <c r="AE153" i="17"/>
  <c r="AE147" i="17"/>
  <c r="AE152" i="17"/>
  <c r="X162" i="17"/>
  <c r="X161" i="17"/>
  <c r="X155" i="17"/>
  <c r="X160" i="17"/>
  <c r="B39" i="15"/>
  <c r="BB79" i="13"/>
  <c r="BG67" i="13"/>
  <c r="AW80" i="13"/>
  <c r="BB80" i="13" s="1"/>
  <c r="AV81" i="13"/>
  <c r="K67" i="13"/>
  <c r="B68" i="13"/>
  <c r="AC26" i="13"/>
  <c r="AH26" i="13" s="1"/>
  <c r="AB27" i="13"/>
  <c r="B33" i="13"/>
  <c r="B102" i="13"/>
  <c r="H32" i="13"/>
  <c r="AL22" i="17" a="1"/>
  <c r="AA157" i="17"/>
  <c r="AC158" i="17"/>
  <c r="AC157" i="17"/>
  <c r="AB151" i="17"/>
  <c r="AB157" i="17"/>
  <c r="AC156" i="17"/>
  <c r="AA156" i="17"/>
  <c r="AA151" i="17"/>
  <c r="AA158" i="17"/>
  <c r="AC151" i="17"/>
  <c r="AB156" i="17"/>
  <c r="AB158" i="17"/>
  <c r="AL22" i="17" l="1"/>
  <c r="AM22" i="17" s="1"/>
  <c r="AV22" i="17" s="1"/>
  <c r="AE151" i="17"/>
  <c r="AE157" i="17"/>
  <c r="AE158" i="17"/>
  <c r="AE156" i="17"/>
  <c r="X159" i="17"/>
  <c r="X165" i="17"/>
  <c r="X166" i="17"/>
  <c r="X164" i="17"/>
  <c r="B40" i="15"/>
  <c r="H33" i="13"/>
  <c r="B34" i="13"/>
  <c r="B103" i="13"/>
  <c r="AB28" i="13"/>
  <c r="AC27" i="13"/>
  <c r="AH27" i="13" s="1"/>
  <c r="B69" i="13"/>
  <c r="K68" i="13"/>
  <c r="AV82" i="13"/>
  <c r="AW81" i="13"/>
  <c r="BB81" i="13" s="1"/>
  <c r="AC161" i="17"/>
  <c r="AC162" i="17"/>
  <c r="AB162" i="17"/>
  <c r="AB155" i="17"/>
  <c r="AA160" i="17"/>
  <c r="AA162" i="17"/>
  <c r="AB160" i="17"/>
  <c r="AC160" i="17"/>
  <c r="AB161" i="17"/>
  <c r="AA155" i="17"/>
  <c r="AC155" i="17"/>
  <c r="AA161" i="17"/>
  <c r="AE161" i="17" l="1"/>
  <c r="AE155" i="17"/>
  <c r="AE160" i="17"/>
  <c r="AE162" i="17"/>
  <c r="X170" i="17"/>
  <c r="X169" i="17"/>
  <c r="X163" i="17"/>
  <c r="X168" i="17"/>
  <c r="B41" i="15"/>
  <c r="AV83" i="13"/>
  <c r="AW82" i="13"/>
  <c r="BB82" i="13" s="1"/>
  <c r="B70" i="13"/>
  <c r="K69" i="13"/>
  <c r="B104" i="13"/>
  <c r="B35" i="13"/>
  <c r="H34" i="13"/>
  <c r="AB29" i="13"/>
  <c r="AC28" i="13"/>
  <c r="AH28" i="13" s="1"/>
  <c r="AC159" i="17"/>
  <c r="AC164" i="17"/>
  <c r="AB166" i="17"/>
  <c r="AA166" i="17"/>
  <c r="AC165" i="17"/>
  <c r="AB164" i="17"/>
  <c r="AB159" i="17"/>
  <c r="AA165" i="17"/>
  <c r="AC166" i="17"/>
  <c r="AB165" i="17"/>
  <c r="AA159" i="17"/>
  <c r="AA164" i="17"/>
  <c r="AE159" i="17" l="1"/>
  <c r="AE165" i="17"/>
  <c r="AE166" i="17"/>
  <c r="AE164" i="17"/>
  <c r="X167" i="17"/>
  <c r="X173" i="17"/>
  <c r="X174" i="17"/>
  <c r="X172" i="17"/>
  <c r="B42" i="15"/>
  <c r="AC29" i="13"/>
  <c r="AH29" i="13" s="1"/>
  <c r="AB30" i="13"/>
  <c r="H35" i="13"/>
  <c r="B105" i="13"/>
  <c r="B36" i="13"/>
  <c r="K70" i="13"/>
  <c r="B71" i="13"/>
  <c r="AV84" i="13"/>
  <c r="AW83" i="13"/>
  <c r="BB83" i="13" s="1"/>
  <c r="AC168" i="17"/>
  <c r="AB168" i="17"/>
  <c r="AB169" i="17"/>
  <c r="AC163" i="17"/>
  <c r="AA168" i="17"/>
  <c r="AC169" i="17"/>
  <c r="AB170" i="17"/>
  <c r="AA169" i="17"/>
  <c r="AB163" i="17"/>
  <c r="AA170" i="17"/>
  <c r="AC170" i="17"/>
  <c r="AA163" i="17"/>
  <c r="AE170" i="17" l="1"/>
  <c r="AE169" i="17"/>
  <c r="AE163" i="17"/>
  <c r="AE168" i="17"/>
  <c r="AW8" i="17" s="1"/>
  <c r="X171" i="17"/>
  <c r="X178" i="17"/>
  <c r="X177" i="17"/>
  <c r="X176" i="17"/>
  <c r="B43" i="15"/>
  <c r="AV85" i="13"/>
  <c r="AW84" i="13"/>
  <c r="BB84" i="13" s="1"/>
  <c r="B72" i="13"/>
  <c r="K71" i="13"/>
  <c r="B37" i="13"/>
  <c r="H36" i="13"/>
  <c r="B106" i="13"/>
  <c r="AB31" i="13"/>
  <c r="AC30" i="13"/>
  <c r="AH30" i="13" s="1"/>
  <c r="AC172" i="17"/>
  <c r="AC173" i="17"/>
  <c r="AA172" i="17"/>
  <c r="AC167" i="17"/>
  <c r="AB172" i="17"/>
  <c r="AB173" i="17"/>
  <c r="AB167" i="17"/>
  <c r="AA173" i="17"/>
  <c r="AA174" i="17"/>
  <c r="AB174" i="17"/>
  <c r="AC174" i="17"/>
  <c r="AA167" i="17"/>
  <c r="AX8" i="17" l="1"/>
  <c r="AE173" i="17"/>
  <c r="AE174" i="17"/>
  <c r="AE167" i="17"/>
  <c r="AE172" i="17"/>
  <c r="X181" i="17"/>
  <c r="X182" i="17"/>
  <c r="X175" i="17"/>
  <c r="X180" i="17"/>
  <c r="B44" i="15"/>
  <c r="AC31" i="13"/>
  <c r="AH31" i="13" s="1"/>
  <c r="AB32" i="13"/>
  <c r="H37" i="13"/>
  <c r="B38" i="13"/>
  <c r="B107" i="13"/>
  <c r="B73" i="13"/>
  <c r="K72" i="13"/>
  <c r="AV86" i="13"/>
  <c r="AW85" i="13"/>
  <c r="BB85" i="13" s="1"/>
  <c r="AB176" i="17"/>
  <c r="AB171" i="17"/>
  <c r="AC171" i="17"/>
  <c r="AA177" i="17"/>
  <c r="AC177" i="17"/>
  <c r="AA171" i="17"/>
  <c r="AC176" i="17"/>
  <c r="AB178" i="17"/>
  <c r="AA176" i="17"/>
  <c r="AC178" i="17"/>
  <c r="AB177" i="17"/>
  <c r="AA178" i="17"/>
  <c r="AW10" i="17" l="1"/>
  <c r="AX10" i="17" s="1"/>
  <c r="AZ10" i="17" s="1"/>
  <c r="AW9" i="17"/>
  <c r="AX9" i="17" s="1"/>
  <c r="AE171" i="17"/>
  <c r="AE177" i="17"/>
  <c r="AE178" i="17"/>
  <c r="AE176" i="17"/>
  <c r="X179" i="17"/>
  <c r="X186" i="17"/>
  <c r="X185" i="17"/>
  <c r="X184" i="17"/>
  <c r="B45" i="15"/>
  <c r="B39" i="13"/>
  <c r="B108" i="13"/>
  <c r="H38" i="13"/>
  <c r="K73" i="13"/>
  <c r="B74" i="13"/>
  <c r="AV87" i="13"/>
  <c r="AW86" i="13"/>
  <c r="BB86" i="13" s="1"/>
  <c r="AB33" i="13"/>
  <c r="AC32" i="13"/>
  <c r="AH32" i="13" s="1"/>
  <c r="AA181" i="17"/>
  <c r="AA180" i="17"/>
  <c r="AB180" i="17"/>
  <c r="AC181" i="17"/>
  <c r="AA175" i="17"/>
  <c r="AC180" i="17"/>
  <c r="AA182" i="17"/>
  <c r="AB182" i="17"/>
  <c r="AC182" i="17"/>
  <c r="AB181" i="17"/>
  <c r="AB175" i="17"/>
  <c r="AC175" i="17"/>
  <c r="AW13" i="17" l="1"/>
  <c r="AX13" i="17" s="1"/>
  <c r="AZ13" i="17" s="1"/>
  <c r="AW12" i="17"/>
  <c r="AX12" i="17" s="1"/>
  <c r="AZ12" i="17" s="1"/>
  <c r="AW14" i="17"/>
  <c r="AX14" i="17" s="1"/>
  <c r="AZ14" i="17" s="1"/>
  <c r="AW7" i="17"/>
  <c r="AX7" i="17" s="1"/>
  <c r="AE182" i="17"/>
  <c r="AE181" i="17"/>
  <c r="AE175" i="17"/>
  <c r="AE180" i="17"/>
  <c r="X190" i="17"/>
  <c r="X189" i="17"/>
  <c r="X183" i="17"/>
  <c r="X188" i="17"/>
  <c r="B46" i="15"/>
  <c r="AC33" i="13"/>
  <c r="AH33" i="13" s="1"/>
  <c r="AB34" i="13"/>
  <c r="AV88" i="13"/>
  <c r="AW87" i="13"/>
  <c r="BB87" i="13" s="1"/>
  <c r="K74" i="13"/>
  <c r="B75" i="13"/>
  <c r="B109" i="13"/>
  <c r="B40" i="13"/>
  <c r="H39" i="13"/>
  <c r="AC179" i="17"/>
  <c r="AB179" i="17"/>
  <c r="AC184" i="17"/>
  <c r="AB186" i="17"/>
  <c r="AA179" i="17"/>
  <c r="AA184" i="17"/>
  <c r="AC185" i="17"/>
  <c r="AC186" i="17"/>
  <c r="AB185" i="17"/>
  <c r="AA186" i="17"/>
  <c r="AA185" i="17"/>
  <c r="AB184" i="17"/>
  <c r="AW18" i="17" l="1"/>
  <c r="AX18" i="17" s="1"/>
  <c r="AZ18" i="17" s="1"/>
  <c r="AW11" i="17"/>
  <c r="AX11" i="17" s="1"/>
  <c r="AZ11" i="17" s="1"/>
  <c r="AW16" i="17"/>
  <c r="AX16" i="17" s="1"/>
  <c r="AZ16" i="17" s="1"/>
  <c r="AW17" i="17"/>
  <c r="AX17" i="17" s="1"/>
  <c r="AZ17" i="17" s="1"/>
  <c r="AE186" i="17"/>
  <c r="AE185" i="17"/>
  <c r="AE179" i="17"/>
  <c r="AE184" i="17"/>
  <c r="X193" i="17"/>
  <c r="X194" i="17"/>
  <c r="X192" i="17"/>
  <c r="X187" i="17"/>
  <c r="B47" i="15"/>
  <c r="AB35" i="13"/>
  <c r="AC34" i="13"/>
  <c r="AH34" i="13" s="1"/>
  <c r="AV89" i="13"/>
  <c r="AW88" i="13"/>
  <c r="BB88" i="13" s="1"/>
  <c r="H40" i="13"/>
  <c r="B110" i="13"/>
  <c r="B41" i="13"/>
  <c r="B76" i="13"/>
  <c r="K75" i="13"/>
  <c r="AC188" i="17"/>
  <c r="AB188" i="17"/>
  <c r="AA190" i="17"/>
  <c r="AC190" i="17"/>
  <c r="AC189" i="17"/>
  <c r="AA183" i="17"/>
  <c r="AA189" i="17"/>
  <c r="AC183" i="17"/>
  <c r="AB190" i="17"/>
  <c r="AA188" i="17"/>
  <c r="AB189" i="17"/>
  <c r="AB183" i="17"/>
  <c r="AW22" i="17" l="1"/>
  <c r="AX22" i="17" s="1"/>
  <c r="AW21" i="17"/>
  <c r="AX21" i="17" s="1"/>
  <c r="AW15" i="17"/>
  <c r="AX15" i="17" s="1"/>
  <c r="AZ15" i="17" s="1"/>
  <c r="AW20" i="17"/>
  <c r="AX20" i="17" s="1"/>
  <c r="AE188" i="17"/>
  <c r="AE189" i="17"/>
  <c r="AE190" i="17"/>
  <c r="AE183" i="17"/>
  <c r="X196" i="17"/>
  <c r="X198" i="17"/>
  <c r="X197" i="17"/>
  <c r="X191" i="17"/>
  <c r="B48" i="15"/>
  <c r="AC35" i="13"/>
  <c r="AH35" i="13" s="1"/>
  <c r="AB36" i="13"/>
  <c r="B42" i="13"/>
  <c r="H41" i="13"/>
  <c r="B111" i="13"/>
  <c r="K76" i="13"/>
  <c r="B77" i="13"/>
  <c r="AV90" i="13"/>
  <c r="AW89" i="13"/>
  <c r="BB89" i="13" s="1"/>
  <c r="AA192" i="17"/>
  <c r="AB194" i="17"/>
  <c r="AA193" i="17"/>
  <c r="AC194" i="17"/>
  <c r="AC192" i="17"/>
  <c r="AB192" i="17"/>
  <c r="AA187" i="17"/>
  <c r="AB193" i="17"/>
  <c r="AC193" i="17"/>
  <c r="AB187" i="17"/>
  <c r="AC187" i="17"/>
  <c r="AA194" i="17"/>
  <c r="BA10" i="17" l="1"/>
  <c r="C402" i="14" s="1"/>
  <c r="AW19" i="17"/>
  <c r="AX19" i="17" s="1"/>
  <c r="AW25" i="17"/>
  <c r="AX25" i="17" s="1"/>
  <c r="AW26" i="17"/>
  <c r="AX26" i="17" s="1"/>
  <c r="AW24" i="17"/>
  <c r="AX24" i="17" s="1"/>
  <c r="AE194" i="17"/>
  <c r="AE192" i="17"/>
  <c r="AE193" i="17"/>
  <c r="AE187" i="17"/>
  <c r="X200" i="17"/>
  <c r="X201" i="17"/>
  <c r="X202" i="17"/>
  <c r="X195" i="17"/>
  <c r="B49" i="15"/>
  <c r="K77" i="13"/>
  <c r="B78" i="13"/>
  <c r="AV91" i="13"/>
  <c r="AW90" i="13"/>
  <c r="BB90" i="13" s="1"/>
  <c r="B43" i="13"/>
  <c r="B112" i="13"/>
  <c r="H42" i="13"/>
  <c r="AC36" i="13"/>
  <c r="AH36" i="13" s="1"/>
  <c r="AB37" i="13"/>
  <c r="AB198" i="17"/>
  <c r="AC198" i="17"/>
  <c r="AC196" i="17"/>
  <c r="AC197" i="17"/>
  <c r="AB197" i="17"/>
  <c r="AB191" i="17"/>
  <c r="AA197" i="17"/>
  <c r="AA191" i="17"/>
  <c r="AA198" i="17"/>
  <c r="AB196" i="17"/>
  <c r="AC191" i="17"/>
  <c r="AA196" i="17"/>
  <c r="AW29" i="17" l="1"/>
  <c r="AX29" i="17" s="1"/>
  <c r="AW28" i="17"/>
  <c r="AX28" i="17" s="1"/>
  <c r="AW23" i="17"/>
  <c r="AX23" i="17" s="1"/>
  <c r="AW30" i="17"/>
  <c r="AX30" i="17" s="1"/>
  <c r="AE197" i="17"/>
  <c r="AE196" i="17"/>
  <c r="AE191" i="17"/>
  <c r="AE198" i="17"/>
  <c r="X204" i="17"/>
  <c r="X206" i="17"/>
  <c r="X205" i="17"/>
  <c r="X199" i="17"/>
  <c r="B50" i="15"/>
  <c r="AB38" i="13"/>
  <c r="AC37" i="13"/>
  <c r="AH37" i="13" s="1"/>
  <c r="B113" i="13"/>
  <c r="B44" i="13"/>
  <c r="H43" i="13"/>
  <c r="AV92" i="13"/>
  <c r="AW91" i="13"/>
  <c r="BB91" i="13" s="1"/>
  <c r="B79" i="13"/>
  <c r="K78" i="13"/>
  <c r="AB200" i="17"/>
  <c r="AA200" i="17"/>
  <c r="AC200" i="17"/>
  <c r="AC202" i="17"/>
  <c r="AC201" i="17"/>
  <c r="AB195" i="17"/>
  <c r="AA201" i="17"/>
  <c r="AB201" i="17"/>
  <c r="AA202" i="17"/>
  <c r="AB202" i="17"/>
  <c r="AC195" i="17"/>
  <c r="AA195" i="17"/>
  <c r="AW33" i="17" l="1"/>
  <c r="AX33" i="17" s="1"/>
  <c r="AW34" i="17"/>
  <c r="AX34" i="17" s="1"/>
  <c r="AW32" i="17"/>
  <c r="AX32" i="17" s="1"/>
  <c r="AW27" i="17"/>
  <c r="AX27" i="17" s="1"/>
  <c r="AE201" i="17"/>
  <c r="AE200" i="17"/>
  <c r="AE202" i="17"/>
  <c r="AE195" i="17"/>
  <c r="X210" i="17"/>
  <c r="X208" i="17"/>
  <c r="X209" i="17"/>
  <c r="X203" i="17"/>
  <c r="B51" i="15"/>
  <c r="B80" i="13"/>
  <c r="K79" i="13"/>
  <c r="AV93" i="13"/>
  <c r="AW92" i="13"/>
  <c r="BB92" i="13" s="1"/>
  <c r="B114" i="13"/>
  <c r="H44" i="13"/>
  <c r="AC38" i="13"/>
  <c r="AH38" i="13" s="1"/>
  <c r="AB39" i="13"/>
  <c r="AA204" i="17"/>
  <c r="AB204" i="17"/>
  <c r="AB205" i="17"/>
  <c r="AC206" i="17"/>
  <c r="AA206" i="17"/>
  <c r="AC205" i="17"/>
  <c r="AA199" i="17"/>
  <c r="AA205" i="17"/>
  <c r="AB199" i="17"/>
  <c r="AC199" i="17"/>
  <c r="AC204" i="17"/>
  <c r="AB206" i="17"/>
  <c r="AW36" i="17" l="1"/>
  <c r="AX36" i="17" s="1"/>
  <c r="AW31" i="17"/>
  <c r="AX31" i="17" s="1"/>
  <c r="AW38" i="17"/>
  <c r="AX38" i="17" s="1"/>
  <c r="AW37" i="17"/>
  <c r="AX37" i="17" s="1"/>
  <c r="AE205" i="17"/>
  <c r="AE206" i="17"/>
  <c r="AE204" i="17"/>
  <c r="AE199" i="17"/>
  <c r="X214" i="17"/>
  <c r="X212" i="17"/>
  <c r="X213" i="17"/>
  <c r="X207" i="17"/>
  <c r="AB40" i="13"/>
  <c r="AC39" i="13"/>
  <c r="AH39" i="13" s="1"/>
  <c r="AV94" i="13"/>
  <c r="AW93" i="13"/>
  <c r="BB93" i="13" s="1"/>
  <c r="K80" i="13"/>
  <c r="Q49" i="13"/>
  <c r="AA208" i="17"/>
  <c r="AB203" i="17"/>
  <c r="AA210" i="17"/>
  <c r="AA209" i="17"/>
  <c r="AC209" i="17"/>
  <c r="AC203" i="17"/>
  <c r="AB210" i="17"/>
  <c r="AA203" i="17"/>
  <c r="AB208" i="17"/>
  <c r="AC208" i="17"/>
  <c r="AB209" i="17"/>
  <c r="AC210" i="17"/>
  <c r="AW35" i="17" l="1"/>
  <c r="AX35" i="17" s="1"/>
  <c r="AE209" i="17"/>
  <c r="AE210" i="17"/>
  <c r="AE208" i="17"/>
  <c r="AE203" i="17"/>
  <c r="X218" i="17"/>
  <c r="X217" i="17"/>
  <c r="X216" i="17"/>
  <c r="X211" i="17"/>
  <c r="AV95" i="13"/>
  <c r="AW95" i="13" s="1"/>
  <c r="BB95" i="13" s="1"/>
  <c r="AW94" i="13"/>
  <c r="BB94" i="13" s="1"/>
  <c r="AC40" i="13"/>
  <c r="AH40" i="13" s="1"/>
  <c r="AB41" i="13"/>
  <c r="AC41" i="13" s="1"/>
  <c r="AH41" i="13" s="1"/>
  <c r="AC212" i="17"/>
  <c r="AA207" i="17"/>
  <c r="AB213" i="17"/>
  <c r="AC214" i="17"/>
  <c r="AB214" i="17"/>
  <c r="AB207" i="17"/>
  <c r="AA213" i="17"/>
  <c r="AB212" i="17"/>
  <c r="AA212" i="17"/>
  <c r="AC213" i="17"/>
  <c r="AA214" i="17"/>
  <c r="AC207" i="17"/>
  <c r="AE214" i="17" l="1"/>
  <c r="AE212" i="17"/>
  <c r="AE213" i="17"/>
  <c r="AE207" i="17"/>
  <c r="X220" i="17"/>
  <c r="X222" i="17"/>
  <c r="X221" i="17"/>
  <c r="X215" i="17"/>
  <c r="AB217" i="17"/>
  <c r="AC216" i="17"/>
  <c r="AA216" i="17"/>
  <c r="AC217" i="17"/>
  <c r="AB218" i="17"/>
  <c r="AB216" i="17"/>
  <c r="AB211" i="17"/>
  <c r="AA211" i="17"/>
  <c r="AC218" i="17"/>
  <c r="AA218" i="17"/>
  <c r="AA217" i="17"/>
  <c r="AC211" i="17"/>
  <c r="AE216" i="17" l="1"/>
  <c r="AE217" i="17"/>
  <c r="AE218" i="17"/>
  <c r="AE211" i="17"/>
  <c r="X219" i="17"/>
  <c r="AA219" i="17"/>
  <c r="AB222" i="17"/>
  <c r="AC222" i="17"/>
  <c r="AC219" i="17"/>
  <c r="AC221" i="17"/>
  <c r="AA215" i="17"/>
  <c r="AB215" i="17"/>
  <c r="AC220" i="17"/>
  <c r="AA220" i="17"/>
  <c r="AA221" i="17"/>
  <c r="AB220" i="17"/>
  <c r="AC215" i="17"/>
  <c r="AB221" i="17"/>
  <c r="AA222" i="17"/>
  <c r="AB219" i="17"/>
  <c r="AE219" i="17" l="1"/>
  <c r="AE215" i="17"/>
  <c r="AE222" i="17"/>
  <c r="AE220" i="17"/>
  <c r="AE221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<sst xmlns="http://schemas.openxmlformats.org/spreadsheetml/2006/main" count="1362" uniqueCount="460">
  <si>
    <t>Test Current</t>
  </si>
  <si>
    <t>Test Voltage</t>
  </si>
  <si>
    <t>Meter Tester Freq</t>
  </si>
  <si>
    <t>Meter Tester I-V Phase</t>
  </si>
  <si>
    <t>Meter Tester V-V Phase</t>
  </si>
  <si>
    <t>PAR[A]</t>
  </si>
  <si>
    <t>DCR</t>
  </si>
  <si>
    <t>uQ32.0</t>
  </si>
  <si>
    <t>uQ8.24</t>
  </si>
  <si>
    <t>uQ2.30</t>
  </si>
  <si>
    <t>uQ12.20</t>
  </si>
  <si>
    <t>sQ1.30</t>
  </si>
  <si>
    <t>uQ0.32</t>
  </si>
  <si>
    <t>uQ22.10</t>
  </si>
  <si>
    <t>0                  0                  0                  0</t>
  </si>
  <si>
    <t>sQ2.29</t>
  </si>
  <si>
    <t>DSR</t>
  </si>
  <si>
    <t>sQ0.31</t>
  </si>
  <si>
    <t>DAR</t>
  </si>
  <si>
    <t>uQ20.12</t>
  </si>
  <si>
    <t>uQ24.40</t>
  </si>
  <si>
    <t>sQ23.40</t>
  </si>
  <si>
    <t>Version</t>
  </si>
  <si>
    <t>Date</t>
  </si>
  <si>
    <t>Changes</t>
  </si>
  <si>
    <t>Fixed issue calculating CAL_PH_Ix when "Meter Test Freq" (Q5) is different from 60Hz. 
Calculations of P_x and Q_X quantities fixed (a constant of "4000" was used instead of status register "N")</t>
  </si>
  <si>
    <t>Initial edition</t>
  </si>
  <si>
    <t>This version supports the new features of the neutral current measuremnts.
It requires SAM4CM metrology library 2.0.0B or newer; or PIC32CXMTx 3.0.0A or newer
Valid for SAM4CM and PIC32CX</t>
  </si>
  <si>
    <t>VALUE</t>
  </si>
  <si>
    <t>PARAMETER</t>
  </si>
  <si>
    <t>Type the values in the yellow cells:</t>
  </si>
  <si>
    <t>CAL_M_x</t>
  </si>
  <si>
    <t>CAL_PH_x</t>
  </si>
  <si>
    <t>REGISTER SET</t>
  </si>
  <si>
    <t>Using the metrology console, send the default calibration constants to the board. Please check the board documentation showing how to work with the terminal console</t>
  </si>
  <si>
    <t>This is an optional step, because the calibration parameters can be calculated using parameterts not having the default values</t>
  </si>
  <si>
    <t>Send to the board the commands in dark blue cells, and Copy and Paste ONLY THOSE EXACT LINES from the serial port interface results (soft blue).</t>
  </si>
  <si>
    <t>UNITY GAIN COMMAND / ZERO PHASE COMMAND</t>
  </si>
  <si>
    <t>Send the commands to the board, copying from the green/purple cells and pasting to the terminal console</t>
  </si>
  <si>
    <t>20000000           20000000           20000000           20000000</t>
  </si>
  <si>
    <t>20000000           20000000           0                  0</t>
  </si>
  <si>
    <t>SAM4CMx / PIC32CXMTx TOOLS</t>
  </si>
  <si>
    <t>CALCULATORS</t>
  </si>
  <si>
    <t>In the yellow cells, type the values to be configured</t>
  </si>
  <si>
    <t xml:space="preserve">NEW VALUE </t>
  </si>
  <si>
    <t xml:space="preserve">DEFAULT VALUE </t>
  </si>
  <si>
    <t xml:space="preserve">NEEDED COMMANDS </t>
  </si>
  <si>
    <t>Meter constant (P)</t>
  </si>
  <si>
    <t>Meter constant (Q)</t>
  </si>
  <si>
    <t>Meter constant (I^2)</t>
  </si>
  <si>
    <t>NOTES</t>
  </si>
  <si>
    <t>Enable/Disable with power offset control register</t>
  </si>
  <si>
    <t>Global P offset</t>
  </si>
  <si>
    <t>Global Q offset</t>
  </si>
  <si>
    <t>Creep threshold (P)</t>
  </si>
  <si>
    <t>Creep threshold (Q)</t>
  </si>
  <si>
    <t>Creep threshold (I)</t>
  </si>
  <si>
    <t>Voltage and current angle is :</t>
  </si>
  <si>
    <t>Enable/Disable with Feature Control 1 Register</t>
  </si>
  <si>
    <t>Resistor divider ratio</t>
  </si>
  <si>
    <t>19CC00</t>
  </si>
  <si>
    <t>CT Ratio</t>
  </si>
  <si>
    <t>Burden resistor</t>
  </si>
  <si>
    <t>PGA</t>
  </si>
  <si>
    <t>9A523</t>
  </si>
  <si>
    <t>Shunt resistor</t>
  </si>
  <si>
    <t>Rogowski coil scale factor at 60Hz</t>
  </si>
  <si>
    <t>Check if the pulse width allows to reach the expected max pulse rate (max power applied)</t>
  </si>
  <si>
    <t>METER CONSTANT</t>
  </si>
  <si>
    <t>APPLIED POWER</t>
  </si>
  <si>
    <t xml:space="preserve">PULSE RATE </t>
  </si>
  <si>
    <t>Enter the values in the yellow cells. The blue cell shows the result.</t>
  </si>
  <si>
    <t>PULSE RATE CALCULATOR (USEFUL TO CONFIGURE THE PULSE WIDTH)</t>
  </si>
  <si>
    <t>"Tools" worksheet added</t>
  </si>
  <si>
    <t>AFE SELECTION</t>
  </si>
  <si>
    <t>0 - 1xMCP3914</t>
  </si>
  <si>
    <t>1 - 2xMCP3914</t>
  </si>
  <si>
    <t>2 - 3xMCP3914</t>
  </si>
  <si>
    <t>3 - 4xMCP3914</t>
  </si>
  <si>
    <t>4 - 1xMCP3913</t>
  </si>
  <si>
    <t>5 - 2xMCP3913</t>
  </si>
  <si>
    <t>6 - 3xMCP3913</t>
  </si>
  <si>
    <t>7 - 4xMCP3913</t>
  </si>
  <si>
    <t>PH number</t>
  </si>
  <si>
    <t>V source</t>
  </si>
  <si>
    <t>I source</t>
  </si>
  <si>
    <t>COMMAND</t>
  </si>
  <si>
    <t>Ctrl reg</t>
  </si>
  <si>
    <t>Param</t>
  </si>
  <si>
    <t>TOTAL CMD - PHASE SOURCE REGISTERS</t>
  </si>
  <si>
    <t>Channel type</t>
  </si>
  <si>
    <t>CH index</t>
  </si>
  <si>
    <t>SEL I/V</t>
  </si>
  <si>
    <t>V</t>
  </si>
  <si>
    <t>CHANNEL TYPE</t>
  </si>
  <si>
    <t>I(CT)</t>
  </si>
  <si>
    <t>I(RC)</t>
  </si>
  <si>
    <t>I(SH)</t>
  </si>
  <si>
    <t>Number</t>
  </si>
  <si>
    <t>MCP391x TOOLS - WRITE JUST IN THE YELLOW CELLS; COMMANDS IN GREEN</t>
  </si>
  <si>
    <t>SYNTHESIZER</t>
  </si>
  <si>
    <t>V/I</t>
  </si>
  <si>
    <t>I</t>
  </si>
  <si>
    <t>CH number</t>
  </si>
  <si>
    <t>220v</t>
  </si>
  <si>
    <t>100A</t>
  </si>
  <si>
    <t>Angle</t>
  </si>
  <si>
    <t>Param 1</t>
  </si>
  <si>
    <t>Param 2</t>
  </si>
  <si>
    <t>FREQ(Hz)</t>
  </si>
  <si>
    <t>Param 3</t>
  </si>
  <si>
    <t>P</t>
  </si>
  <si>
    <t>Q</t>
  </si>
  <si>
    <t>EXPECTED METROLOGY QUANTITIES WHEN USING SYNTHESIZER</t>
  </si>
  <si>
    <t>S</t>
  </si>
  <si>
    <t>POWER NUMBER</t>
  </si>
  <si>
    <t>V_Default</t>
  </si>
  <si>
    <t>I_default</t>
  </si>
  <si>
    <t>K_CH_x (K_CH must be also changed, in order the synthezizer to produce the proper magnitude)</t>
  </si>
  <si>
    <t>Offset</t>
  </si>
  <si>
    <t>x</t>
  </si>
  <si>
    <t>Reg</t>
  </si>
  <si>
    <t>CMD_V</t>
  </si>
  <si>
    <t>CMD</t>
  </si>
  <si>
    <t>COMBINED CMD</t>
  </si>
  <si>
    <t>32 CHANNELS</t>
  </si>
  <si>
    <t>16 CHANNELS</t>
  </si>
  <si>
    <t>12 CHANNELS</t>
  </si>
  <si>
    <t>8 CHANNELS</t>
  </si>
  <si>
    <t>Offset Reg</t>
  </si>
  <si>
    <t>COMBINED COMMAND (ALL CHANNELS)</t>
  </si>
  <si>
    <t>COMBINED COMMAND (16 CHANNELS)</t>
  </si>
  <si>
    <t>COMBINED COMMAND (12 CHANNELS)</t>
  </si>
  <si>
    <t>COMBINED COMMAND (8 CHANNELS)</t>
  </si>
  <si>
    <t>SWELL/OVERCURRENT/SAG COMMAND GENERATOR</t>
  </si>
  <si>
    <t>Offset = 42 for SWELL/OC; 74 for SAG</t>
  </si>
  <si>
    <t>SWELL/OV or SAG VALUE</t>
  </si>
  <si>
    <t>STEP 1: AFE SELECTION</t>
  </si>
  <si>
    <t>1 x MCP3913. 6 channels and up to 5 powers are allowed.</t>
  </si>
  <si>
    <t>2 x MCP3913. 12 channels and up to 11 powers are allowed</t>
  </si>
  <si>
    <t>1 x MCP3914. 8 channels and up to 7 powers are allowed.</t>
  </si>
  <si>
    <t>2 x MCP3914. 16 channels and up to 15 powers are allowed.</t>
  </si>
  <si>
    <t>3 x MCP3914. 24 channels and up to 23 powers are allowed.</t>
  </si>
  <si>
    <t>4 x MCP3914. 32 channels and up to 31 powers are allowed.</t>
  </si>
  <si>
    <t>3 x MCP3913. 18 channels and up to 17 powers are allowed.</t>
  </si>
  <si>
    <t>4 x MCP3913. 24 channels and up to 23 powers are allowed.</t>
  </si>
  <si>
    <t>SENSOR TYPES</t>
  </si>
  <si>
    <t>STEP 2: CHANNEL CONFIGURATION</t>
  </si>
  <si>
    <t>Index</t>
  </si>
  <si>
    <t>CH</t>
  </si>
  <si>
    <t>PW ID</t>
  </si>
  <si>
    <t>STEP 3: POWER NUMBER</t>
  </si>
  <si>
    <t>Max. Power Number</t>
  </si>
  <si>
    <t>Power number</t>
  </si>
  <si>
    <t>POWER MATRIX</t>
  </si>
  <si>
    <t>COMBINED CMD - POWER SOURCE REGISTERS</t>
  </si>
  <si>
    <t>COMBINED CMD -  FROM SELECTION</t>
  </si>
  <si>
    <t>COMBINED CMD -  ALL REGISTERS</t>
  </si>
  <si>
    <t>STEP 4: POWER MATRIX</t>
  </si>
  <si>
    <t>V CH</t>
  </si>
  <si>
    <t>I CH</t>
  </si>
  <si>
    <t>INSTRUCTIONS: WRITE IN THE YELLOW CELLS. THEN SEND THE RESULTS (GREEN CELLS) TO THE BOARD</t>
  </si>
  <si>
    <t>CONFIGURATION TOOL</t>
  </si>
  <si>
    <t>DO NOT EDIT THIS SHEET. IT I SUSED FOR INTERNAL CALCULATIONS</t>
  </si>
  <si>
    <t>Meaning:</t>
  </si>
  <si>
    <t>…</t>
  </si>
  <si>
    <t>CH ID</t>
  </si>
  <si>
    <t>I/V SEL</t>
  </si>
  <si>
    <t>SELECT THE AFE PART AND NUMBER. CHECK THE METROLOGY REFERENCE GUIDE FOR THE OPTIONS AVAILABLE IN THE VERSION BEING USED.</t>
  </si>
  <si>
    <t>CONFIGURE EACH CHANNEL AS A VOLTAGE OR CURRENT SOURCE, BY SELECTING THE SENSOR TYPE USED.</t>
  </si>
  <si>
    <t>SELECT THE NUMBER OF POWERS TO BE COMPUTED. THE NUMBER CAN EXCEED THE MAXIMUM LIMIT ESTABLISHED BY THE AFE SELECTION (STEP 1)</t>
  </si>
  <si>
    <t>PIC32CXMTx Calibration Spreadsheet</t>
  </si>
  <si>
    <t xml:space="preserve">FOR EACH POWER, SELECT THE CHANNELS WITH THE CURRENT AND VOLTAGE INPUTS. BLUE LABEL SIGNALS THE LAST AVAILABLE POWER ID </t>
  </si>
  <si>
    <t>MAGNITUDE (V/I)</t>
  </si>
  <si>
    <t>CALIBRATE (Y/N)</t>
  </si>
  <si>
    <t>Y</t>
  </si>
  <si>
    <t>N</t>
  </si>
  <si>
    <t>STEP 2 (OPTIONAL): SET THE CALIBRATION CONSTANTS TO THE DEFAULT VALUES (UNITY GAIN AND ZERO PHASE ADJUSTMENTS)</t>
  </si>
  <si>
    <t>DCM(138:20000000; 139:20000000; 140:20000000; 141:20000000; 142:20000000; 143:20000000; 144:20000000; 145:20000000; 146:20000000; 147:20000000; 148:20000000; 149:20000000; 150:20000000; 151:20000000; 152:20000000; 153:20000000; 154:20000000; 155:20000000; 156:20000000; 157:20000000; 158:20000000; 159:20000000; 160:20000000; 161:20000000; 162:20000000; 163:20000000; 164:20000000; 165:20000000; 166:20000000; 167:20000000; 168:20000000; 169:20000000)</t>
  </si>
  <si>
    <t>DCM(170:0; 171:0; 172:0; 173:0; 174:0; 175:0; 176:0; 177:0; 178:0; 179:0; 180:0; 181:0; 182:0; 183:0; 184:0; 185:0; 186:0; 187:0; 188:0; 189:0; 190:0; 191:0; 192:0; 193:0; 194:0; 195:0; 196:0; 197:0; 198:0; 199:0  200:0; 201:0)</t>
  </si>
  <si>
    <t>Present RMS values are :</t>
  </si>
  <si>
    <t>CH16=0.000A CH17=0.000A CH18=0.000A CH19=0.000A</t>
  </si>
  <si>
    <t>CH20=0.000A CH21=0.000A CH22=0.000A CH23=0.000A</t>
  </si>
  <si>
    <t>CH24=0.000A CH25=0.000A CH26=0.000A CH27=0.000A</t>
  </si>
  <si>
    <t>CH28=0.000A CH29=0.000A CH30=0.000A CH31=0.000A</t>
  </si>
  <si>
    <t>Angle_PW16= 0.000 Angle_PW17= 0.000 Angle_PW18= 0.000 Angle_PW19= 0.000</t>
  </si>
  <si>
    <t>Angle_PW20= 0.000 Angle_PW21= 0.000 Angle_PW22= 0.000 Angle_PW23= 0.000</t>
  </si>
  <si>
    <t>Angle_PW24= 0.000 Angle_PW25= 0.000 Angle_PW26= 0.000 Angle_PW27= 0.000</t>
  </si>
  <si>
    <t>Angle_PW28= 0.000 Angle_PW29= 0.000 Angle_PW30= 0.000</t>
  </si>
  <si>
    <t>000 STATE_CTRL     001 FEATURE_CTRL0  002 FEATURE_CTRL1  003 RESERVED_C003</t>
  </si>
  <si>
    <t>004 PH_SRC_0_1     005 PH_SRC_2_3     006 PH_SRC_4_5     007 PH_SRC_6_7</t>
  </si>
  <si>
    <t>008 PH_SRC_8_9     009 PH_SRC_10_11   010 PH_SRC_12_13   011 PH_SRC_14_15</t>
  </si>
  <si>
    <t>012 PH_SRC_16_17   013 PH_SRC_18_19   014 PH_SRC_20_21   015 PH_SRC_22_23</t>
  </si>
  <si>
    <t>016 PH_SRC_24_25   017 PH_SRC_26_27   018 PH_SRC_28_29   019 PH_SRC_30</t>
  </si>
  <si>
    <t>020 METER_TYPE     021 SENSOR_TYPE_0  022 SENSOR_TYPE_1  023 M</t>
  </si>
  <si>
    <t>024 N_MAX          025 PULSE_CTRL0    026 PULSE_CTRL1    027 PULSE_CTRL2</t>
  </si>
  <si>
    <t>028 RESERVED_C028  029 PULSE_CONT_PW  030 PULSE_CONT_I   031 RESERVED_C031</t>
  </si>
  <si>
    <t>032 P_K_T          033 Q_K_T          034 I_K_T          035 CREEP_THR_P</t>
  </si>
  <si>
    <t>036 CREEP_THR_Q    037 CREEP_THR_I    038 P_PW_OS_CTRL   039 Q_PW_OS_CTRL</t>
  </si>
  <si>
    <t>040 POWER_OFFSET_P 041 POWER_OFFSET_Q 042 SWELL_OV_TH_00 043 SWELL_OV_TH_01</t>
  </si>
  <si>
    <t>044 SWELL_OV_TH_02 045 SWELL_OV_TH_03 046 SWELL_OV_TH_04 047 SWELL_OV_TH_05</t>
  </si>
  <si>
    <t>048 SWELL_OV_TH_06 049 SWELL_OV_TH_07 050 SWELL_OV_TH_08 051 SWELL_OV_TH_09</t>
  </si>
  <si>
    <t>052 SWELL_OV_TH_10 053 SWELL_OV_TH_11 054 SWELL_OV_TH_12 055 SWELL_OV_TH_13</t>
  </si>
  <si>
    <t>056 SWELL_OV_TH_14 057 SWELL_OV_TH_15 058 SWELL_OV_TH_16 059 SWELL_OV_TH_17</t>
  </si>
  <si>
    <t>060 SWELL_OV_TH_18 061 SWELL_OV_TH_19 062 SWELL_OV_TH_20 063 SWELL_OV_TH_21</t>
  </si>
  <si>
    <t>064 SWELL_OV_TH_22 065 SWELL_OV_TH_23 066 SWELL_OV_TH_24 067 SWELL_OV_TH_25</t>
  </si>
  <si>
    <t>068 SWELL_OV_TH_26 069 SWELL_OV_TH_27 070 SWELL_OV_TH_28 071 SWELL_OV_TH_29</t>
  </si>
  <si>
    <t>072 SWELL_OV_TH_30 073 SWELL_OV_TH_31 074 SAG_THRES_00   075 SAG_THRES_01</t>
  </si>
  <si>
    <t>076 SAG_THRES_02   077 SAG_THRES_03   078 SAG_THRES_04   079 SAG_THRES_05</t>
  </si>
  <si>
    <t>080 SAG_THRES_06   081 SAG_THRES_07   082 SAG_THRES_08   083 SAG_THRES_09</t>
  </si>
  <si>
    <t>084 SAG_THRES_10   085 SAG_THRES_11   086 SAG_THRES_12   087 SAG_THRES_13</t>
  </si>
  <si>
    <t>088 SAG_THRES_14   089 SAG_THRES_15   090 SAG_THRES_16   091 SAG_THRES_17</t>
  </si>
  <si>
    <t>092 SAG_THRES_18   093 SAG_THRES_19   094 SAG_THRES_20   095 SAG_THRES_21</t>
  </si>
  <si>
    <t>096 SAG_THRES_22   097 SAG_THRES_23   098 SAG_THRES_24   099 SAG_THRES_25</t>
  </si>
  <si>
    <t>100 SAG_THRES_26   101 SAG_THRES_27   102 SAG_THRES_28   103 SAG_THRES_29</t>
  </si>
  <si>
    <t>104 SAG_THRES_30   105 SAG_THRES_31   106 K_00           107 K_01</t>
  </si>
  <si>
    <t>108 K_02           109 K_03           110 K_04           111 K_05</t>
  </si>
  <si>
    <t>9A523              9A523              9A523              9A523</t>
  </si>
  <si>
    <t>112 K_06           113 K_07           114 K_08           115 K_09</t>
  </si>
  <si>
    <t>116 K_10           117 K_11           118 K_12           119 K_13</t>
  </si>
  <si>
    <t>9A523              19CC00             9A523              9A523</t>
  </si>
  <si>
    <t>120 K_14           121 K_15           122 K_16           123 K_17</t>
  </si>
  <si>
    <t>124 K_18           125 K_19           126 K_20           127 K_21</t>
  </si>
  <si>
    <t>128 K_22           129 K_23           130 K_24           131 K_25</t>
  </si>
  <si>
    <t>132 K_26           133 K_27           134 K_28           135 K_29</t>
  </si>
  <si>
    <t>136 K_30           137 K_31           138 CAL_M_00       139 CAL_M_01</t>
  </si>
  <si>
    <t>9A523              9A523              20000000           20000000</t>
  </si>
  <si>
    <t>140 CAL_M_02       141 CAL_M_03       142 CAL_M_04       143 CAL_M_05</t>
  </si>
  <si>
    <t>144 CAL_M_06       145 CAL_M_07       146 CAL_M_08       147 CAL_M_09</t>
  </si>
  <si>
    <t>148 CAL_M_10       149 CAL_M_11       150 CAL_M_12       151 CAL_M_13</t>
  </si>
  <si>
    <t>152 CAL_M_14       153 CAL_M_15       154 CAL_M_16       155 CAL_M_17</t>
  </si>
  <si>
    <t>156 CAL_M_18       157 CAL_M_19       158 CAL_M_20       159 CAL_M_21</t>
  </si>
  <si>
    <t>160 CAL_M_22       161 CAL_M_23       162 CAL_M_24       163 CAL_M_25</t>
  </si>
  <si>
    <t>164 CAL_M_26       165 CAL_M_27       166 CAL_M_28       167 CAL_M_29</t>
  </si>
  <si>
    <t>168 CAL_M_30       169 CAL_M_31       170 CAL_PH_00      171 CAL_PH_01</t>
  </si>
  <si>
    <t>172 CAL_PH_02      173 CAL_PH_03      174 CAL_PH_04      175 CAL_PH_05</t>
  </si>
  <si>
    <t>176 CAL_PH_06      177 CAL_PH_07      178 CAL_PH_08      179 CAL_PH_09</t>
  </si>
  <si>
    <t>180 CAL_PH_10      181 CAL_PH_11      182 CAL_PH_12      183 CAL_PH_13</t>
  </si>
  <si>
    <t>184 CAL_PH_14      185 CAL_PH_15      186 CAL_PH_16      187 CAL_PH_17</t>
  </si>
  <si>
    <t>188 CAL_PH_18      189 CAL_PH_19      190 CAL_PH_20      191 CAL_PH_21</t>
  </si>
  <si>
    <t>192 CAL_PH_22      193 CAL_PH_23      194 CAL_PH_24      195 CAL_PH_25</t>
  </si>
  <si>
    <t>196 CAL_PH_26      197 CAL_PH_27      198 CAL_PH_28      199 CAL_PH_29</t>
  </si>
  <si>
    <t>200 CAL_PH_30      201 CAL_PH_31      202 CAPTURE_CTRL   203 CAPTURE_CH_SEL</t>
  </si>
  <si>
    <t>204 CAPT_BUFF_SIZE 205 CAPTURE_ADDR   206 RESERVED_C202  207 RESERVED_C203</t>
  </si>
  <si>
    <t>208 RESERVED_C204  209 MCP_GAIN_0     210 MCP_GAIN_1     211 MCP_GAIN_2</t>
  </si>
  <si>
    <t>212 MCP_GAIN_3     213 MCP_CONFIG0_0  214 MCP_CONFIG0_1  215 MCP_CONFIG0_2</t>
  </si>
  <si>
    <t>220 PW_OFFSET_P_02 221 PW_OFFSET_P_03 222 PW_OFFSET_P_04 223 PW_OFFSET_P_05</t>
  </si>
  <si>
    <t>224 PW_OFFSET_P_06 225 PW_OFFSET_P_07 226 PW_OFFSET_P_08 227 PW_OFFSET_P_09</t>
  </si>
  <si>
    <t>228 PW_OFFSET_P_10 229 PW_OFFSET_P_11 230 PW_OFFSET_P_12 231 PW_OFFSET_P_13</t>
  </si>
  <si>
    <t>232 PW_OFFSET_P_14 233 PW_OFFSET_P_15 234 PW_OFFSET_P_16 235 PW_OFFSET_P_17</t>
  </si>
  <si>
    <t>236 PW_OFFSET_P_18 237 PW_OFFSET_P_19 238 PW_OFFSET_P_20 239 PW_OFFSET_P_21</t>
  </si>
  <si>
    <t>240 PW_OFFSET_P_22 241 PW_OFFSET_P_23 242 PW_OFFSET_P_24 243 PW_OFFSET_P_25</t>
  </si>
  <si>
    <t>244 PW_OFFSET_P_26 245 PW_OFFSET_P_27 246 PW_OFFSET_P_28 247 PW_OFFSET_P_29</t>
  </si>
  <si>
    <t>252 PW_OFFSET_Q_02 253 PW_OFFSET_Q_03 254 PW_OFFSET_Q_04 255 PW_OFFSET_Q_05</t>
  </si>
  <si>
    <t>256 PW_OFFSET_Q_06 257 PW_OFFSET_Q_07 258 PW_OFFSET_Q_08 259 PW_OFFSET_Q_09</t>
  </si>
  <si>
    <t>260 PW_OFFSET_Q_10 261 PW_OFFSET_Q_11 262 PW_OFFSET_Q_12 263 PW_OFFSET_Q_13</t>
  </si>
  <si>
    <t>264 PW_OFFSET_Q_14 265 PW_OFFSET_Q_15 266 PW_OFFSET_Q_16 267 PW_OFFSET_Q_17</t>
  </si>
  <si>
    <t>268 PW_OFFSET_Q_18 269 PW_OFFSET_Q_19 270 PW_OFFSET_Q_20 271 PW_OFFSET_Q_21</t>
  </si>
  <si>
    <t>272 PW_OFFSET_Q_22 273 PW_OFFSET_Q_23 274 PW_OFFSET_Q_24 275 PW_OFFSET_Q_25</t>
  </si>
  <si>
    <t>0                  0</t>
  </si>
  <si>
    <t>000 VERSION        001 STATUS         002 STATE_FLAG     003 SWELL_OV_FLAG</t>
  </si>
  <si>
    <t>004 SAG_FLAG       005 CREEP_FLAG     006 PH_ACTIVE_FLAG 007 CAPTURE_STATUS</t>
  </si>
  <si>
    <t>008 INTERVAL_NUM   009 N              010 PH_OFFSET      011 FREQ</t>
  </si>
  <si>
    <t>012 FREQ_CH0       013 FREQ_CH1       014 FREQ_CH2       015 FREQ_CH3</t>
  </si>
  <si>
    <t>016 FREQ_CH4       017 FREQ_CH5       018 FREQ_CH6       019 FREQ_CH7</t>
  </si>
  <si>
    <t>020 FREQ_CH8       021 FREQ_CH9       022 FREQ_CH10      023 FREQ_CH11</t>
  </si>
  <si>
    <t>024 FREQ_CH12      025 FREQ_CH13      026 FREQ_CH14      027 FREQ_CH15</t>
  </si>
  <si>
    <t>028 FREQ_CH16      029 FREQ_CH17      020 FREQ_CH18      031 FREQ_CH19</t>
  </si>
  <si>
    <t>032 FREQ_CH20      033 FREQ_CH21      034 FREQ_CH22      035 FREQ_CH23</t>
  </si>
  <si>
    <t>036 FREQ_CH24      037 FREQ_CH25      038 FREQ_CH26      039 FREQ_CH27</t>
  </si>
  <si>
    <t>030 FREQ_CH28      041 FREQ_CH29      042 FREQ_CH30      043 FREQ_CH31</t>
  </si>
  <si>
    <t>044 RESERVED_S44   045 RESERVED_S45   046 CH_MAX_0       047 CH_MAX_1</t>
  </si>
  <si>
    <t>048 CH_MAX_2       049 CH_MAX_3       050 CH_MAX_4       051 CH_MAX_5</t>
  </si>
  <si>
    <t>052 CH_MAX_6       053 CH_MAX_7       054 CH_MAX_8       055 CH_MAX_9</t>
  </si>
  <si>
    <t>056 CH_MAX_10      057 CH_MAX_11      058 CH_MAX_12      059 CH_MAX_13</t>
  </si>
  <si>
    <t>060 CH_MAX_14      061 CH_MAX_15      062 CH_MAX_16      063 CH_MAX_17</t>
  </si>
  <si>
    <t>064 CH_MAX_18      065 CH_MAX_19      066 CH_MAX_20      067 CH_MAX_21</t>
  </si>
  <si>
    <t>068 CH_MAX_22      069 CH_MAX_23      070 CH_MAX_24      071 CH_MAX_25</t>
  </si>
  <si>
    <t>072 CH_MAX_26      073 CH_MAX_27      074 CH_MAX_28      075 CH_MAX_29</t>
  </si>
  <si>
    <t>076 CH_MAX_30      077 CH_MAX_31      078 FEATURES       079 MCP_CRC_ERRORS</t>
  </si>
  <si>
    <t>0                  0                  807F6C01           0</t>
  </si>
  <si>
    <t>080 RESERVED_S80   081 RESERVED_S81   082 PULSE0_COUNTER 083 PULSE1_COUNTER</t>
  </si>
  <si>
    <t>084 PULSE2_COUNTER 085 RESERVED_S85   086 RESERVED_S86   087 ZC_N_CH0</t>
  </si>
  <si>
    <t>088 ZC_N_CH1       089 ZC_N_CH2       090 ZC_N_CH3       091 ZC_N_CH4</t>
  </si>
  <si>
    <t>092 ZC_N_CH5       093 ZC_N_CH6       094 ZC_N_CH7       095 ZC_N_CH8</t>
  </si>
  <si>
    <t>096 ZC_N_CH9       097 ZC_N_CH10      098 ZC_N_CH11      099 ZC_N_CH12</t>
  </si>
  <si>
    <t>100 ZC_N_CH13      101 ZC_N_CH14      102 ZC_N_CH15      103 ZC_N_CH16</t>
  </si>
  <si>
    <t>104 ZC_N_CH17      105 ZC_N_CH18      106 ZC_N_CH19      107 ZC_N_CH20</t>
  </si>
  <si>
    <t>108 ZC_N_CH21      109 ZC_N_CH22      110 ZC_N_CH23      111 ZC_N_CH24</t>
  </si>
  <si>
    <t>112 ZC_N_CH25      113 ZC_N_CH26      114 ZC_N_CH27      115 ZC_N_CH28</t>
  </si>
  <si>
    <t>116 ZC_N_CH29      117 ZC_N_CH30      118 ZC_N_CH31      119 RESERVED_S119</t>
  </si>
  <si>
    <t>120 RESERVED_S120  121 RESERVED_S121</t>
  </si>
  <si>
    <t>000 CH0            001 CH1            002 CH2            003 CH3</t>
  </si>
  <si>
    <t>004 CH4            005 CH5            006 CH6            007 CH7</t>
  </si>
  <si>
    <t>008 CH8            009 CH9            010 CH10           011 CH11</t>
  </si>
  <si>
    <t>012 CH12           013 CH13           014 CH14           015 CH15</t>
  </si>
  <si>
    <t>016 CH16           017 CH17           018 CH18           019 CH19</t>
  </si>
  <si>
    <t>020 CH20           021 CH21           022 CH22           023 CH23</t>
  </si>
  <si>
    <t>024 CH24           025 CH25           026 CH26           027 CH27</t>
  </si>
  <si>
    <t>028 CH28           029 CH29           030 CH30           031 CH31</t>
  </si>
  <si>
    <t>032 CH0_F          033 CH1_F          034 CH2_F          035 CH3_F</t>
  </si>
  <si>
    <t>036 CH4_F          037 CH5_F          038 CH6_F          039 CH7_F</t>
  </si>
  <si>
    <t>040 CH8_F          041 CH9_F          042 CH10_F         043 CH11_F</t>
  </si>
  <si>
    <t>044 CH12_F         045 CH13_F         046 CH14_F         047 CH15_F</t>
  </si>
  <si>
    <t>048 CH16_F         049 CH17_F         050 CH18_F         051 CH19_F</t>
  </si>
  <si>
    <t>052 CH20_F         053 CH21_F         054 CH22_F         055 CH23_F</t>
  </si>
  <si>
    <t>056 CH24_F         057 CH25_F         058 CH26_F         059 CH27_F</t>
  </si>
  <si>
    <t>060 CH28_F         061 CH29_F         062 CH30_F         063 CH31_F</t>
  </si>
  <si>
    <t>064 P_CH0          065 P_CH1          066 P_CH2          067 P_CH3</t>
  </si>
  <si>
    <t>068 P_CH4          069 P_CH5          070 P_CH6          071 P_CH7</t>
  </si>
  <si>
    <t>072 P_CH8          073 P_CH9          074 P_CH10         075 P_CH11</t>
  </si>
  <si>
    <t>076 P_CH12         077 P_CH13         078 P_CH14         079 P_CH15</t>
  </si>
  <si>
    <t>080 P_CH16         081 P_CH17         082 P_CH18         083 P_CH19</t>
  </si>
  <si>
    <t>084 P_CH20         085 P_CH21         086 P_CH22         087 P_CH23</t>
  </si>
  <si>
    <t>088 P_CH24         089 P_CH25         090 P_CH26         091 P_CH27</t>
  </si>
  <si>
    <t>092 P_CH28         093 P_CH29         094 P_CH30         095 RESERVED_A095</t>
  </si>
  <si>
    <t>096 P_CH0_F        097 P_CH1_F        098 P_CH2_F        099 P_CH3_F</t>
  </si>
  <si>
    <t>100 P_CH4_F        101 P_CH5_F        102 P_CH6_F        103 P_CH7_F</t>
  </si>
  <si>
    <t>104 P_CH8_F        105 P_CH9_F        106 P_CH10_F       107 P_CH11_F</t>
  </si>
  <si>
    <t>108 P_CH12_F       109 P_CH13_F       110 P_CH14_F       111 P_CH15_F</t>
  </si>
  <si>
    <t>112 P_CH16_F       113 P_CH17_F       114 P_CH18_F       115 P_CH19_F</t>
  </si>
  <si>
    <t>116 P_CH20_F       117 P_CH21_F       118 P_CH22_F       119 P_CH23_F</t>
  </si>
  <si>
    <t>120 P_CH24_F       121 P_CH25_F       122 P_CH26_F       123 P_CH27_F</t>
  </si>
  <si>
    <t>124 P_CH28_F       125 P_CH29_F       126 P_CH30_F       127 RESERVED_A127</t>
  </si>
  <si>
    <t>128 Q_CH0          129 Q_CH1          130 Q_CH2          131 Q_CH3</t>
  </si>
  <si>
    <t>132 Q_CH4          133 Q_CH5          134 Q_CH6          135 Q_CH7</t>
  </si>
  <si>
    <t>136 Q_CH8          137 Q_CH9          138 Q_CH10         139 Q_CH11</t>
  </si>
  <si>
    <t>140 Q_CH12         141 Q_CH13         142 Q_CH14         143 Q_CH15</t>
  </si>
  <si>
    <t>144 Q_CH16         145 Q_CH17         146 Q_CH18         147 Q_CH19</t>
  </si>
  <si>
    <t>148 Q_CH20         149 Q_CH21         150 Q_CH22         151 Q_CH23</t>
  </si>
  <si>
    <t>152 Q_CH24         153 Q_CH25         154 Q_CH26         155 Q_CH27</t>
  </si>
  <si>
    <t>156 Q_CH28         157 Q_CH29         158 Q_CH30         159 RESERVED_A159</t>
  </si>
  <si>
    <t>160 Q_CH0_F        161 Q_CH1_F        162 Q_CH2_F        163 Q_CH3_F</t>
  </si>
  <si>
    <t>164 Q_CH4_F        165 Q_CH5_F        166 Q_CH6_F        167 Q_CH7_F</t>
  </si>
  <si>
    <t>168 Q_CH8_F        169 Q_CH9_F        170 Q_CH10_F       171 Q_CH11_F</t>
  </si>
  <si>
    <t>172 Q_CH12_F       173 Q_CH13_F       174 Q_CH14_F       175 Q_CH15_F</t>
  </si>
  <si>
    <t>176 Q_CH16_F       177 Q_CH17_F       178 Q_CH18_F       179 Q_CH19_F</t>
  </si>
  <si>
    <t>180 Q_CH20_F       181 Q_CH21_F       182 Q_CH22_F       183 Q_CH23_F</t>
  </si>
  <si>
    <t>184 Q_CH24_F       185 Q_CH25_F       186 Q_CH26_F       187 Q_CH27_F</t>
  </si>
  <si>
    <t>188 Q_CH28_F       189 Q_CH29_F       190 Q_CH30_F       191 RESERVED_A191</t>
  </si>
  <si>
    <t>192 V_AB           193 V_BC           194 V_CA           195 V_AB_F</t>
  </si>
  <si>
    <t>196 V_BC_F         197 V_CA_F         198 ACC_T0         199 ACC_T1</t>
  </si>
  <si>
    <t>200 ACC_T2         201 RESERVED_A201  202 RESERVED_A202  203 RESERVED_A203</t>
  </si>
  <si>
    <t>204 RESERVED_A204  205 RESERVED_A205  206 RESERVED_A206  207 RESERVED_A207</t>
  </si>
  <si>
    <t>208 RESERVED_A208  209 RESERVED_A209  210 RESERVED_A210  211 RESERVED_A211</t>
  </si>
  <si>
    <t>212 RESERVED_A212  213 RESERVED_A213  214 RESERVED_A214  215 RESERVED_A215</t>
  </si>
  <si>
    <t>STATUS REGISTERS</t>
  </si>
  <si>
    <t>CONTROL REGISTERS</t>
  </si>
  <si>
    <t>R</t>
  </si>
  <si>
    <t>ID</t>
  </si>
  <si>
    <t>NAME</t>
  </si>
  <si>
    <t>FORMAT</t>
  </si>
  <si>
    <t>DECIMAL</t>
  </si>
  <si>
    <t>DERIVED QUANTITIES</t>
  </si>
  <si>
    <t>uQ16.0</t>
  </si>
  <si>
    <t>ACCUMULATOR REGISTERS</t>
  </si>
  <si>
    <t>CH08=0.000A CH09=0.000V CH10=0.000A CH11=0.000V</t>
  </si>
  <si>
    <t>CH12=0.000A CH13=0.000A CH14=0.000A CH15=0.000A</t>
  </si>
  <si>
    <t>Angle_PW04= 0.000 Angle_PW05= 0.000 Angle_PW06= 0.000 Angle_PW07= 0.000</t>
  </si>
  <si>
    <t>Angle_PW08= 0.000 Angle_PW09= 0.000 Angle_PW10= 0.000 Angle_PW11= 0.000</t>
  </si>
  <si>
    <t>Angle_PW12= 0.000 Angle_PW13= 0.000 Angle_PW14= 0.000 Angle_PW15= 0.000</t>
  </si>
  <si>
    <t>2                  300                0                  0</t>
  </si>
  <si>
    <t>4010300            502                0                  0</t>
  </si>
  <si>
    <t>CCC                CCC03F             0                  0</t>
  </si>
  <si>
    <t>1130               810001D0           810201D0           110401D0</t>
  </si>
  <si>
    <t>0                  7                  7                  0</t>
  </si>
  <si>
    <t>500000             500000             500000             2E9A</t>
  </si>
  <si>
    <t>0                  5E84F61            0                  5E84F61</t>
  </si>
  <si>
    <t>0                  5E84F61            0                  0</t>
  </si>
  <si>
    <t>0                  0                  0                  1A2EC26</t>
  </si>
  <si>
    <t>0                  1A2EC26            0                  1A2EC26</t>
  </si>
  <si>
    <t>0                  1A2EC26            0                  0</t>
  </si>
  <si>
    <t>9A523              19CC00             9A523              19CC00</t>
  </si>
  <si>
    <t>A00                20001BB0           0                  0</t>
  </si>
  <si>
    <t>0                  384050             384050             384050</t>
  </si>
  <si>
    <t>384050             0                  0                  0</t>
  </si>
  <si>
    <t>40000              8                  20                 5</t>
  </si>
  <si>
    <t>CALIBRATION</t>
  </si>
  <si>
    <t>MEASURED</t>
  </si>
  <si>
    <t>APPLIED</t>
  </si>
  <si>
    <t>CHANNEL</t>
  </si>
  <si>
    <t>CAL_M</t>
  </si>
  <si>
    <t>CAL_M_old (60Hz)</t>
  </si>
  <si>
    <t>Delta_cal</t>
  </si>
  <si>
    <t>CAL_PH_old (60Hz)</t>
  </si>
  <si>
    <t>CAL_PH</t>
  </si>
  <si>
    <t>Delta_cal(50Hz)</t>
  </si>
  <si>
    <t>Delta_cal(60Hz)</t>
  </si>
  <si>
    <t>Enable V-V Phase correction</t>
  </si>
  <si>
    <t>NO</t>
  </si>
  <si>
    <t>HEX</t>
  </si>
  <si>
    <t>Using the metrology console, send the computed calibration constants to the board.</t>
  </si>
  <si>
    <t>GAIN COMMAND / PHASE COMMAND</t>
  </si>
  <si>
    <t xml:space="preserve">Use these commands to send the calibration registers as groups:  </t>
  </si>
  <si>
    <t>COMBINED M CMD</t>
  </si>
  <si>
    <t>REG</t>
  </si>
  <si>
    <t>COMBINED PH CMD</t>
  </si>
  <si>
    <t>Enabled in future versions</t>
  </si>
  <si>
    <t>0                  0                  0                  FF</t>
  </si>
  <si>
    <t>POWER ID</t>
  </si>
  <si>
    <t>P(POWER ID)</t>
  </si>
  <si>
    <t>Q(POWER ID)</t>
  </si>
  <si>
    <t>First power index where the current with index="channel" is contributing</t>
  </si>
  <si>
    <t>STEP 6: SEND THE GENERATED COMMANDS TO THE BOARD</t>
  </si>
  <si>
    <t>STEP 5: ADC INPUT CHANNEL CONVERSION FACTOR</t>
  </si>
  <si>
    <t>VALUE(HEX)</t>
  </si>
  <si>
    <t>ADC INPUT CHANNEL CONVERSION FACTOR</t>
  </si>
  <si>
    <t>Preliminary version for multichannel metrology library</t>
  </si>
  <si>
    <t>Parameters used in the cauculations</t>
  </si>
  <si>
    <t xml:space="preserve">VALUE </t>
  </si>
  <si>
    <t>Frequency</t>
  </si>
  <si>
    <t>K_x (Voltage)</t>
  </si>
  <si>
    <t>K_x (Current)</t>
  </si>
  <si>
    <t>Power offset (P_x)</t>
  </si>
  <si>
    <t>Power offset (Q_x)</t>
  </si>
  <si>
    <t>2E9A               212D               0                  80000000</t>
  </si>
  <si>
    <t>0                  345                0                  5E84F61</t>
  </si>
  <si>
    <t>0                  0                  19CC00             19CC00</t>
  </si>
  <si>
    <t>19CC00             9A523              9A523              9A523</t>
  </si>
  <si>
    <t>216 MCP_CONFIG0_3  217 RESERVED_C217  218 PW_OFFSET_P_00 219 PW_OFFSET_P_01</t>
  </si>
  <si>
    <t>248 PW_OFFSET_P_30 249 RESERVED_C249  250 PW_OFFSET_Q_00 251 PW_OFFSET_Q_01</t>
  </si>
  <si>
    <t>276 PW_OFFSET_Q_26 277 PW_OFFSET_Q_27 278 PW_OFFSET_Q_28 279 PW_OFFSET_Q_29</t>
  </si>
  <si>
    <t>280 PW_OFFSET_Q_30 281 RESERVED_C281</t>
  </si>
  <si>
    <t>80                 0                  7                  0</t>
  </si>
  <si>
    <t>31FFE              31FFE              31FFE              0</t>
  </si>
  <si>
    <t>5B08               6F4A               0                  0</t>
  </si>
  <si>
    <t>PAR[I]</t>
  </si>
  <si>
    <t>CH00=215.114V CH01=215.121V CH02=215.170V CH03=30.600A</t>
  </si>
  <si>
    <t>CH04=30.520A CH05=30.518A CH06=0.004A CH07=0.009V</t>
  </si>
  <si>
    <t>Angle_PW00= 59.936 Angle_PW01= 59.934 Angle_PW02= 59.929 Angle_PW03= 0.000</t>
  </si>
  <si>
    <t>3D60015            FA0                FF0A3D71           31FFE</t>
  </si>
  <si>
    <t>0                  0                  0                  36811</t>
  </si>
  <si>
    <t>0                  0                  60BD064            60B8536</t>
  </si>
  <si>
    <t>60BDB45            23E7BFC            23D191F            23CFBB7</t>
  </si>
  <si>
    <t>0                  0                  1737               2175</t>
  </si>
  <si>
    <t>0                  0                  0                  31FB70</t>
  </si>
  <si>
    <t>33A634             3050CA             0                  0</t>
  </si>
  <si>
    <t>0                  0                  354000             0</t>
  </si>
  <si>
    <t>43E625E2D4D1       43F28B30BCA2       43FB144B5222       9D576EF0D84</t>
  </si>
  <si>
    <t>9C7B46F175B        9C6F3742EA8        2705D              22FB8</t>
  </si>
  <si>
    <t>43E29228F07C       43F7F323F2C8       43F8370A13E8       9D50E49E51A</t>
  </si>
  <si>
    <t>9C73814166E        9C7BAEA2A69        2388               17F5</t>
  </si>
  <si>
    <t>CF2D6DB9C86        CE9D1A16E6E        CE97FA1EA38        0</t>
  </si>
  <si>
    <t>CF09E468490        CEAC7264C2A        CEAA3FEF907        0</t>
  </si>
  <si>
    <t>165C996AFBB3       1650EFFD5AF8       164F145D3302       0</t>
  </si>
  <si>
    <t>165E0D2E9076       164EC6A16342       164F864986FF       0</t>
  </si>
  <si>
    <t>CBC97AF49451       CBD49F0C32C7       CBDCD2A8FCC0       CBD059AB4328</t>
  </si>
  <si>
    <t>CBDD368F0B65       CBCAA0D56B15       1D65A3DA52B        2A7A7300CAB</t>
  </si>
  <si>
    <t>0                  0                  0                  2A677D8EA63</t>
  </si>
  <si>
    <t>2A7A7300CAB        1D5AAA80BAE        1D65A3DA52B        0</t>
  </si>
  <si>
    <t>USE THIS VALUE FOR THE CURRENT CHANNELS ("Y" or "N", SELECT JUST ONE)</t>
  </si>
  <si>
    <t>COMBINED CMD - JUST EXISTING CHANNELS</t>
  </si>
  <si>
    <t>CHANNELS</t>
  </si>
  <si>
    <t>SEND THE COMMANDS TO THE BOARD. WHEN USING A SERIAL TERMINAL, SIMPLY COPY AND PASTE EACH ROW</t>
  </si>
  <si>
    <t>DCS</t>
  </si>
  <si>
    <t>STEP 1: CONFIGURE THE INPUT SOURCES AND SELECT THE CHANNELS TO BE CALIBRATED</t>
  </si>
  <si>
    <t>STEP 4: SEND THE COMPUTED CALIBRATION REGISTERS TO THE BOARD</t>
  </si>
  <si>
    <t>STEP 5: CHECK THE ACCURACY OF THE MEASUREMENTS</t>
  </si>
  <si>
    <t>STEP 3: READ THE MEASUREMENTS AND THE METROLOGY REGISTERS FROM THE BOARD</t>
  </si>
  <si>
    <t>Check the accuracy of the measurements. If the results are not as good as expected, check the input sources and the configuration and come back to step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</si>
</sst>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00"/>
    <numFmt numFmtId="165" formatCode="0.000&quot; A&quot;"/>
    <numFmt numFmtId="166" formatCode="0.000&quot; V&quot;"/>
    <numFmt numFmtId="167" formatCode="0.00&quot; Hz&quot;"/>
    <numFmt numFmtId="168" formatCode="0.00&quot; deg&quot;"/>
    <numFmt numFmtId="169" formatCode="0.000&quot; deg&quot;"/>
    <numFmt numFmtId="170" formatCode="0&quot; pulses/kWh&quot;"/>
    <numFmt numFmtId="171" formatCode="0.00&quot; W&quot;"/>
    <numFmt numFmtId="172" formatCode="0&quot; pulses/kVarh&quot;"/>
    <numFmt numFmtId="173" formatCode="0&quot; pulses/kI^2h&quot;"/>
    <numFmt numFmtId="174" formatCode="0.00&quot; Var&quot;"/>
    <numFmt numFmtId="175" formatCode="0&quot; Wh&quot;"/>
    <numFmt numFmtId="176" formatCode="0&quot; Varh&quot;"/>
    <numFmt numFmtId="177" formatCode="0&quot; mArms scaled&quot;"/>
    <numFmt numFmtId="178" formatCode="0&quot; uOhm&quot;"/>
    <numFmt numFmtId="179" formatCode="0&quot; uV/A at 60Hz&quot;"/>
    <numFmt numFmtId="180" formatCode="0.00&quot; KW&quot;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ourier New"/>
      <family val="3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ourier New"/>
      <family val="3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urIER NEW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  <font>
      <sz val="10"/>
      <color theme="1"/>
      <name val="Courier New"/>
      <family val="3"/>
    </font>
    <font>
      <sz val="11"/>
      <color theme="1"/>
      <name val="Consoles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49" fontId="2" fillId="0" borderId="0" xfId="0" applyNumberFormat="1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2" fontId="2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6" borderId="0" xfId="0" applyFill="1"/>
    <xf numFmtId="10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6" fillId="0" borderId="0" xfId="0" applyFont="1"/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0" xfId="0" applyFont="1"/>
    <xf numFmtId="0" fontId="1" fillId="0" borderId="12" xfId="0" applyFont="1" applyBorder="1" applyAlignment="1">
      <alignment horizontal="center"/>
    </xf>
    <xf numFmtId="0" fontId="0" fillId="3" borderId="12" xfId="0" applyFill="1" applyBorder="1" applyAlignment="1">
      <alignment horizontal="center"/>
    </xf>
    <xf numFmtId="165" fontId="1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left"/>
    </xf>
    <xf numFmtId="49" fontId="2" fillId="7" borderId="0" xfId="0" applyNumberFormat="1" applyFont="1" applyFill="1"/>
    <xf numFmtId="0" fontId="0" fillId="7" borderId="0" xfId="0" applyFill="1"/>
    <xf numFmtId="0" fontId="1" fillId="0" borderId="0" xfId="0" applyFont="1" applyAlignment="1">
      <alignment horizontal="left"/>
    </xf>
    <xf numFmtId="170" fontId="0" fillId="2" borderId="12" xfId="0" applyNumberFormat="1" applyFill="1" applyBorder="1" applyAlignment="1">
      <alignment horizontal="center" vertical="center"/>
    </xf>
    <xf numFmtId="170" fontId="0" fillId="7" borderId="12" xfId="0" applyNumberFormat="1" applyFill="1" applyBorder="1" applyAlignment="1">
      <alignment horizontal="center" vertical="center"/>
    </xf>
    <xf numFmtId="171" fontId="0" fillId="2" borderId="12" xfId="0" applyNumberFormat="1" applyFill="1" applyBorder="1" applyAlignment="1">
      <alignment horizontal="center" vertical="center"/>
    </xf>
    <xf numFmtId="171" fontId="0" fillId="7" borderId="12" xfId="0" applyNumberFormat="1" applyFill="1" applyBorder="1" applyAlignment="1">
      <alignment horizontal="center" vertical="center"/>
    </xf>
    <xf numFmtId="172" fontId="0" fillId="2" borderId="12" xfId="0" applyNumberFormat="1" applyFill="1" applyBorder="1" applyAlignment="1">
      <alignment horizontal="center" vertical="center"/>
    </xf>
    <xf numFmtId="172" fontId="0" fillId="7" borderId="12" xfId="0" applyNumberFormat="1" applyFill="1" applyBorder="1" applyAlignment="1">
      <alignment horizontal="center" vertical="center"/>
    </xf>
    <xf numFmtId="173" fontId="0" fillId="2" borderId="12" xfId="0" applyNumberFormat="1" applyFill="1" applyBorder="1" applyAlignment="1">
      <alignment horizontal="center" vertical="center"/>
    </xf>
    <xf numFmtId="173" fontId="0" fillId="7" borderId="12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174" fontId="0" fillId="2" borderId="12" xfId="0" applyNumberFormat="1" applyFill="1" applyBorder="1" applyAlignment="1">
      <alignment horizontal="center" vertical="center"/>
    </xf>
    <xf numFmtId="174" fontId="0" fillId="7" borderId="12" xfId="0" applyNumberFormat="1" applyFill="1" applyBorder="1" applyAlignment="1">
      <alignment horizontal="center" vertical="center"/>
    </xf>
    <xf numFmtId="175" fontId="0" fillId="2" borderId="12" xfId="0" applyNumberFormat="1" applyFill="1" applyBorder="1" applyAlignment="1">
      <alignment horizontal="center" vertical="center"/>
    </xf>
    <xf numFmtId="175" fontId="0" fillId="7" borderId="12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6" fontId="0" fillId="2" borderId="12" xfId="0" applyNumberFormat="1" applyFill="1" applyBorder="1" applyAlignment="1">
      <alignment horizontal="center" vertical="center"/>
    </xf>
    <xf numFmtId="177" fontId="0" fillId="2" borderId="12" xfId="0" applyNumberFormat="1" applyFill="1" applyBorder="1" applyAlignment="1">
      <alignment horizontal="center" vertical="center"/>
    </xf>
    <xf numFmtId="177" fontId="0" fillId="7" borderId="12" xfId="0" applyNumberFormat="1" applyFill="1" applyBorder="1" applyAlignment="1">
      <alignment horizontal="center" vertical="center"/>
    </xf>
    <xf numFmtId="167" fontId="0" fillId="7" borderId="12" xfId="0" applyNumberFormat="1" applyFill="1" applyBorder="1" applyAlignment="1">
      <alignment horizontal="center" vertical="center"/>
    </xf>
    <xf numFmtId="180" fontId="0" fillId="2" borderId="12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horizontal="left"/>
    </xf>
    <xf numFmtId="0" fontId="0" fillId="2" borderId="0" xfId="0" applyFill="1"/>
    <xf numFmtId="0" fontId="0" fillId="0" borderId="11" xfId="0" applyBorder="1"/>
    <xf numFmtId="0" fontId="6" fillId="9" borderId="0" xfId="0" applyFont="1" applyFill="1"/>
    <xf numFmtId="0" fontId="0" fillId="9" borderId="0" xfId="0" applyFill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0" fillId="0" borderId="6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0" xfId="0" applyFont="1"/>
    <xf numFmtId="0" fontId="4" fillId="9" borderId="0" xfId="0" applyFont="1" applyFill="1"/>
    <xf numFmtId="0" fontId="9" fillId="9" borderId="0" xfId="0" applyFont="1" applyFill="1"/>
    <xf numFmtId="0" fontId="0" fillId="2" borderId="1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9" borderId="0" xfId="0" applyFont="1" applyFill="1"/>
    <xf numFmtId="164" fontId="0" fillId="8" borderId="12" xfId="0" applyNumberFormat="1" applyFill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11" fillId="5" borderId="0" xfId="0" applyFont="1" applyFill="1"/>
    <xf numFmtId="0" fontId="12" fillId="5" borderId="0" xfId="0" applyFont="1" applyFill="1"/>
    <xf numFmtId="49" fontId="12" fillId="7" borderId="0" xfId="0" applyNumberFormat="1" applyFont="1" applyFill="1"/>
    <xf numFmtId="0" fontId="12" fillId="7" borderId="0" xfId="0" applyFont="1" applyFill="1"/>
    <xf numFmtId="0" fontId="2" fillId="7" borderId="0" xfId="0" applyFont="1" applyFill="1" applyAlignment="1">
      <alignment horizontal="left"/>
    </xf>
    <xf numFmtId="0" fontId="13" fillId="0" borderId="0" xfId="0" applyFont="1"/>
    <xf numFmtId="0" fontId="5" fillId="10" borderId="0" xfId="0" applyFont="1" applyFill="1" applyAlignment="1">
      <alignment horizontal="left"/>
    </xf>
    <xf numFmtId="0" fontId="14" fillId="10" borderId="0" xfId="0" applyFont="1" applyFill="1" applyAlignment="1">
      <alignment horizontal="center"/>
    </xf>
    <xf numFmtId="49" fontId="14" fillId="10" borderId="0" xfId="0" applyNumberFormat="1" applyFont="1" applyFill="1"/>
    <xf numFmtId="49" fontId="14" fillId="10" borderId="0" xfId="0" applyNumberFormat="1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49" fontId="5" fillId="10" borderId="0" xfId="0" applyNumberFormat="1" applyFont="1" applyFill="1"/>
    <xf numFmtId="49" fontId="5" fillId="10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49" fontId="14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14" fillId="0" borderId="0" xfId="0" applyNumberFormat="1" applyFont="1" applyAlignment="1">
      <alignment horizontal="center"/>
    </xf>
    <xf numFmtId="169" fontId="13" fillId="0" borderId="0" xfId="0" applyNumberFormat="1" applyFont="1" applyAlignment="1">
      <alignment horizontal="left"/>
    </xf>
    <xf numFmtId="0" fontId="15" fillId="0" borderId="0" xfId="0" applyFont="1"/>
    <xf numFmtId="49" fontId="5" fillId="10" borderId="0" xfId="0" applyNumberFormat="1" applyFont="1" applyFill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2" xfId="0" applyFont="1" applyBorder="1"/>
    <xf numFmtId="0" fontId="1" fillId="0" borderId="12" xfId="0" applyFont="1" applyBorder="1" applyAlignment="1">
      <alignment horizontal="left"/>
    </xf>
    <xf numFmtId="165" fontId="0" fillId="2" borderId="12" xfId="0" applyNumberFormat="1" applyFill="1" applyBorder="1" applyAlignment="1">
      <alignment horizontal="center"/>
    </xf>
    <xf numFmtId="166" fontId="0" fillId="2" borderId="12" xfId="0" applyNumberFormat="1" applyFill="1" applyBorder="1" applyAlignment="1">
      <alignment horizontal="center"/>
    </xf>
    <xf numFmtId="167" fontId="0" fillId="2" borderId="12" xfId="0" applyNumberFormat="1" applyFill="1" applyBorder="1" applyAlignment="1">
      <alignment horizontal="center"/>
    </xf>
    <xf numFmtId="168" fontId="0" fillId="2" borderId="12" xfId="0" applyNumberFormat="1" applyFill="1" applyBorder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1" fillId="0" borderId="1" xfId="0" applyFont="1" applyBorder="1"/>
    <xf numFmtId="0" fontId="1" fillId="0" borderId="12" xfId="0" applyFont="1" applyBorder="1" applyAlignment="1">
      <alignment horizontal="right"/>
    </xf>
    <xf numFmtId="49" fontId="2" fillId="0" borderId="12" xfId="0" applyNumberFormat="1" applyFont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68" fontId="0" fillId="8" borderId="12" xfId="0" applyNumberFormat="1" applyFill="1" applyBorder="1" applyAlignment="1">
      <alignment horizontal="center"/>
    </xf>
    <xf numFmtId="164" fontId="0" fillId="0" borderId="0" xfId="0" applyNumberFormat="1" applyAlignment="1">
      <alignment horizontal="left"/>
    </xf>
    <xf numFmtId="167" fontId="0" fillId="2" borderId="12" xfId="0" applyNumberFormat="1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0" borderId="11" xfId="0" applyBorder="1"/>
    <xf numFmtId="0" fontId="0" fillId="0" borderId="2" xfId="0" applyBorder="1"/>
    <xf numFmtId="179" fontId="0" fillId="2" borderId="8" xfId="0" applyNumberFormat="1" applyFill="1" applyBorder="1" applyAlignment="1">
      <alignment horizontal="left" vertical="top"/>
    </xf>
    <xf numFmtId="0" fontId="0" fillId="0" borderId="9" xfId="0" applyBorder="1"/>
    <xf numFmtId="0" fontId="0" fillId="0" borderId="10" xfId="0" applyBorder="1"/>
    <xf numFmtId="178" fontId="0" fillId="2" borderId="1" xfId="0" applyNumberFormat="1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0" borderId="4" xfId="0" applyBorder="1"/>
    <xf numFmtId="0" fontId="0" fillId="0" borderId="5" xfId="0" applyBorder="1"/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Border="1"/>
    <xf numFmtId="0" fontId="0" fillId="0" borderId="3" xfId="0" applyBorder="1"/>
    <xf numFmtId="0" fontId="0" fillId="4" borderId="1" xfId="0" applyFill="1" applyBorder="1" applyAlignment="1">
      <alignment horizontal="center"/>
    </xf>
    <xf numFmtId="0" fontId="0" fillId="4" borderId="11" xfId="0" applyFill="1" applyBorder="1"/>
    <xf numFmtId="0" fontId="0" fillId="4" borderId="2" xfId="0" applyFill="1" applyBorder="1"/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11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49" fontId="2" fillId="2" borderId="0" xfId="0" applyNumberFormat="1" applyFont="1" applyFill="1" applyAlignment="1">
      <alignment horizontal="center" wrapText="1"/>
    </xf>
  </cellXfs>
  <cellStyles count="1">
    <cellStyle name="Normal" xfId="0" builtinId="0"/>
  </cellStyles>
  <dxfs count="1"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3F37-E954-4F42-85D9-55957431B9F9}">
  <dimension ref="B1:AI107"/>
  <sheetViews>
    <sheetView topLeftCell="A39" workbookViewId="0">
      <selection activeCell="E75" sqref="E75"/>
    </sheetView>
  </sheetViews>
  <sheetFormatPr defaultRowHeight="15"/>
  <cols>
    <col min="2" max="2" width="20.7109375" customWidth="1"/>
    <col min="3" max="34" width="5.42578125" customWidth="1"/>
    <col min="35" max="35" width="4.42578125" customWidth="1"/>
  </cols>
  <sheetData>
    <row r="1" spans="2:35" ht="23.25">
      <c r="B1" s="53" t="s">
        <v>162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</row>
    <row r="2" spans="2:35" ht="15.75">
      <c r="B2" s="67" t="s">
        <v>161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</row>
    <row r="4" spans="2:35">
      <c r="B4" s="14" t="s">
        <v>137</v>
      </c>
      <c r="C4" s="14"/>
    </row>
    <row r="5" spans="2:35" ht="15.75" thickBot="1">
      <c r="B5" t="s">
        <v>168</v>
      </c>
    </row>
    <row r="6" spans="2:35" ht="15.75" thickBot="1">
      <c r="B6" s="115" t="s">
        <v>139</v>
      </c>
      <c r="C6" s="116"/>
      <c r="D6" s="116"/>
      <c r="E6" s="116"/>
      <c r="F6" s="116"/>
      <c r="G6" s="116"/>
      <c r="H6" s="116"/>
      <c r="I6" s="116"/>
      <c r="J6" s="117"/>
    </row>
    <row r="8" spans="2:35">
      <c r="B8" s="14" t="s">
        <v>147</v>
      </c>
    </row>
    <row r="9" spans="2:35" ht="15.75" thickBot="1">
      <c r="B9" t="s">
        <v>169</v>
      </c>
    </row>
    <row r="10" spans="2:35">
      <c r="B10" s="55" t="s">
        <v>166</v>
      </c>
      <c r="C10" s="56">
        <v>0</v>
      </c>
      <c r="D10" s="56">
        <f t="shared" ref="D10" si="0">1+C10</f>
        <v>1</v>
      </c>
      <c r="E10" s="56">
        <f t="shared" ref="E10" si="1">1+D10</f>
        <v>2</v>
      </c>
      <c r="F10" s="56">
        <f t="shared" ref="F10" si="2">1+E10</f>
        <v>3</v>
      </c>
      <c r="G10" s="56">
        <f t="shared" ref="G10" si="3">1+F10</f>
        <v>4</v>
      </c>
      <c r="H10" s="56">
        <f t="shared" ref="H10" si="4">1+G10</f>
        <v>5</v>
      </c>
      <c r="I10" s="56">
        <f t="shared" ref="I10" si="5">1+H10</f>
        <v>6</v>
      </c>
      <c r="J10" s="56">
        <f t="shared" ref="J10" si="6">1+I10</f>
        <v>7</v>
      </c>
      <c r="K10" s="56">
        <f t="shared" ref="K10" si="7">1+J10</f>
        <v>8</v>
      </c>
      <c r="L10" s="56">
        <f t="shared" ref="L10" si="8">1+K10</f>
        <v>9</v>
      </c>
      <c r="M10" s="56">
        <f t="shared" ref="M10" si="9">1+L10</f>
        <v>10</v>
      </c>
      <c r="N10" s="56">
        <f t="shared" ref="N10" si="10">1+M10</f>
        <v>11</v>
      </c>
      <c r="O10" s="56">
        <f t="shared" ref="O10" si="11">1+N10</f>
        <v>12</v>
      </c>
      <c r="P10" s="56">
        <f t="shared" ref="P10" si="12">1+O10</f>
        <v>13</v>
      </c>
      <c r="Q10" s="56">
        <f t="shared" ref="Q10" si="13">1+P10</f>
        <v>14</v>
      </c>
      <c r="R10" s="56">
        <f t="shared" ref="R10" si="14">1+Q10</f>
        <v>15</v>
      </c>
      <c r="S10" s="56">
        <f t="shared" ref="S10" si="15">1+R10</f>
        <v>16</v>
      </c>
      <c r="T10" s="56">
        <f t="shared" ref="T10" si="16">1+S10</f>
        <v>17</v>
      </c>
      <c r="U10" s="56">
        <f t="shared" ref="U10" si="17">1+T10</f>
        <v>18</v>
      </c>
      <c r="V10" s="56">
        <f t="shared" ref="V10" si="18">1+U10</f>
        <v>19</v>
      </c>
      <c r="W10" s="56">
        <f t="shared" ref="W10" si="19">1+V10</f>
        <v>20</v>
      </c>
      <c r="X10" s="56">
        <f t="shared" ref="X10" si="20">1+W10</f>
        <v>21</v>
      </c>
      <c r="Y10" s="56">
        <f t="shared" ref="Y10" si="21">1+X10</f>
        <v>22</v>
      </c>
      <c r="Z10" s="56">
        <f t="shared" ref="Z10" si="22">1+Y10</f>
        <v>23</v>
      </c>
      <c r="AA10" s="56">
        <f t="shared" ref="AA10" si="23">1+Z10</f>
        <v>24</v>
      </c>
      <c r="AB10" s="56">
        <f t="shared" ref="AB10" si="24">1+AA10</f>
        <v>25</v>
      </c>
      <c r="AC10" s="56">
        <f t="shared" ref="AC10" si="25">1+AB10</f>
        <v>26</v>
      </c>
      <c r="AD10" s="56">
        <f t="shared" ref="AD10" si="26">1+AC10</f>
        <v>27</v>
      </c>
      <c r="AE10" s="56">
        <f t="shared" ref="AE10" si="27">1+AD10</f>
        <v>28</v>
      </c>
      <c r="AF10" s="56">
        <f t="shared" ref="AF10" si="28">1+AE10</f>
        <v>29</v>
      </c>
      <c r="AG10" s="56">
        <f t="shared" ref="AG10" si="29">1+AF10</f>
        <v>30</v>
      </c>
      <c r="AH10" s="57">
        <f t="shared" ref="AH10" si="30">1+AG10</f>
        <v>31</v>
      </c>
    </row>
    <row r="11" spans="2:35" ht="15.75" thickBot="1">
      <c r="B11" s="58" t="s">
        <v>167</v>
      </c>
      <c r="C11" s="59" t="s">
        <v>93</v>
      </c>
      <c r="D11" s="59" t="s">
        <v>93</v>
      </c>
      <c r="E11" s="59" t="s">
        <v>93</v>
      </c>
      <c r="F11" s="59" t="s">
        <v>95</v>
      </c>
      <c r="G11" s="59" t="s">
        <v>95</v>
      </c>
      <c r="H11" s="59" t="s">
        <v>95</v>
      </c>
      <c r="I11" s="59" t="s">
        <v>95</v>
      </c>
      <c r="J11" s="59" t="s">
        <v>95</v>
      </c>
      <c r="K11" s="59" t="s">
        <v>95</v>
      </c>
      <c r="L11" s="59" t="s">
        <v>95</v>
      </c>
      <c r="M11" s="59" t="s">
        <v>95</v>
      </c>
      <c r="N11" s="59" t="s">
        <v>95</v>
      </c>
      <c r="O11" s="59" t="s">
        <v>95</v>
      </c>
      <c r="P11" s="59" t="s">
        <v>95</v>
      </c>
      <c r="Q11" s="59" t="s">
        <v>95</v>
      </c>
      <c r="R11" s="59" t="s">
        <v>95</v>
      </c>
      <c r="S11" s="59" t="s">
        <v>95</v>
      </c>
      <c r="T11" s="59" t="s">
        <v>95</v>
      </c>
      <c r="U11" s="59" t="s">
        <v>95</v>
      </c>
      <c r="V11" s="59" t="s">
        <v>95</v>
      </c>
      <c r="W11" s="59" t="s">
        <v>95</v>
      </c>
      <c r="X11" s="59" t="s">
        <v>95</v>
      </c>
      <c r="Y11" s="59" t="s">
        <v>95</v>
      </c>
      <c r="Z11" s="59" t="s">
        <v>95</v>
      </c>
      <c r="AA11" s="59" t="s">
        <v>95</v>
      </c>
      <c r="AB11" s="59" t="s">
        <v>95</v>
      </c>
      <c r="AC11" s="59" t="s">
        <v>95</v>
      </c>
      <c r="AD11" s="59" t="s">
        <v>95</v>
      </c>
      <c r="AE11" s="59" t="s">
        <v>95</v>
      </c>
      <c r="AF11" s="59" t="s">
        <v>95</v>
      </c>
      <c r="AG11" s="59" t="s">
        <v>95</v>
      </c>
      <c r="AH11" s="60" t="s">
        <v>95</v>
      </c>
    </row>
    <row r="12" spans="2:35" hidden="1">
      <c r="C12" s="8">
        <f>MATCH(C11, AUX_INTERNAL!$C$16:$C$19, 0)-1</f>
        <v>3</v>
      </c>
      <c r="D12" s="8">
        <f>MATCH(D11, AUX_INTERNAL!$C$16:$C$19, 0)-1</f>
        <v>3</v>
      </c>
      <c r="E12" s="8">
        <f>MATCH(E11, AUX_INTERNAL!$C$16:$C$19, 0)-1</f>
        <v>3</v>
      </c>
      <c r="F12" s="8">
        <f>MATCH(F11, AUX_INTERNAL!$C$16:$C$19, 0)-1</f>
        <v>0</v>
      </c>
      <c r="G12" s="8">
        <f>MATCH(G11, AUX_INTERNAL!$C$16:$C$19, 0)-1</f>
        <v>0</v>
      </c>
      <c r="H12" s="8">
        <f>MATCH(H11, AUX_INTERNAL!$C$16:$C$19, 0)-1</f>
        <v>0</v>
      </c>
      <c r="I12" s="8">
        <f>MATCH(I11, AUX_INTERNAL!$C$16:$C$19, 0)-1</f>
        <v>0</v>
      </c>
      <c r="J12" s="8">
        <f>MATCH(J11, AUX_INTERNAL!$C$16:$C$19, 0)-1</f>
        <v>0</v>
      </c>
      <c r="K12" s="8">
        <f>MATCH(K11, AUX_INTERNAL!$C$16:$C$19, 0)-1</f>
        <v>0</v>
      </c>
      <c r="L12" s="8">
        <f>MATCH(L11, AUX_INTERNAL!$C$16:$C$19, 0)-1</f>
        <v>0</v>
      </c>
      <c r="M12" s="8">
        <f>MATCH(M11, AUX_INTERNAL!$C$16:$C$19, 0)-1</f>
        <v>0</v>
      </c>
      <c r="N12" s="8">
        <f>MATCH(N11, AUX_INTERNAL!$C$16:$C$19, 0)-1</f>
        <v>0</v>
      </c>
      <c r="O12" s="8">
        <f>MATCH(O11, AUX_INTERNAL!$C$16:$C$19, 0)-1</f>
        <v>0</v>
      </c>
      <c r="P12" s="8">
        <f>MATCH(P11, AUX_INTERNAL!$C$16:$C$19, 0)-1</f>
        <v>0</v>
      </c>
      <c r="Q12" s="8">
        <f>MATCH(Q11, AUX_INTERNAL!$C$16:$C$19, 0)-1</f>
        <v>0</v>
      </c>
      <c r="R12" s="8">
        <f>MATCH(R11, AUX_INTERNAL!$C$16:$C$19, 0)-1</f>
        <v>0</v>
      </c>
      <c r="S12" s="8">
        <f>MATCH(S11, AUX_INTERNAL!$C$16:$C$19, 0)-1</f>
        <v>0</v>
      </c>
      <c r="T12" s="8">
        <f>MATCH(T11, AUX_INTERNAL!$C$16:$C$19, 0)-1</f>
        <v>0</v>
      </c>
      <c r="U12" s="8">
        <f>MATCH(U11, AUX_INTERNAL!$C$16:$C$19, 0)-1</f>
        <v>0</v>
      </c>
      <c r="V12" s="8">
        <f>MATCH(V11, AUX_INTERNAL!$C$16:$C$19, 0)-1</f>
        <v>0</v>
      </c>
      <c r="W12" s="8">
        <f>MATCH(W11, AUX_INTERNAL!$C$16:$C$19, 0)-1</f>
        <v>0</v>
      </c>
      <c r="X12" s="8">
        <f>MATCH(X11, AUX_INTERNAL!$C$16:$C$19, 0)-1</f>
        <v>0</v>
      </c>
      <c r="Y12" s="8">
        <f>MATCH(Y11, AUX_INTERNAL!$C$16:$C$19, 0)-1</f>
        <v>0</v>
      </c>
      <c r="Z12" s="8">
        <f>MATCH(Z11, AUX_INTERNAL!$C$16:$C$19, 0)-1</f>
        <v>0</v>
      </c>
      <c r="AA12" s="8">
        <f>MATCH(AA11, AUX_INTERNAL!$C$16:$C$19, 0)-1</f>
        <v>0</v>
      </c>
      <c r="AB12" s="8">
        <f>MATCH(AB11, AUX_INTERNAL!$C$16:$C$19, 0)-1</f>
        <v>0</v>
      </c>
      <c r="AC12" s="8">
        <f>MATCH(AC11, AUX_INTERNAL!$C$16:$C$19, 0)-1</f>
        <v>0</v>
      </c>
      <c r="AD12" s="8">
        <f>MATCH(AD11, AUX_INTERNAL!$C$16:$C$19, 0)-1</f>
        <v>0</v>
      </c>
      <c r="AE12" s="8">
        <f>MATCH(AE11, AUX_INTERNAL!$C$16:$C$19, 0)-1</f>
        <v>0</v>
      </c>
      <c r="AF12" s="8">
        <f>MATCH(AF11, AUX_INTERNAL!$C$16:$C$19, 0)-1</f>
        <v>0</v>
      </c>
      <c r="AG12" s="8">
        <f>MATCH(AG11, AUX_INTERNAL!$C$16:$C$19, 0)-1</f>
        <v>0</v>
      </c>
      <c r="AH12" s="8">
        <f>MATCH(AH11, AUX_INTERNAL!$C$16:$C$19, 0)-1</f>
        <v>0</v>
      </c>
    </row>
    <row r="14" spans="2:35">
      <c r="B14" s="14" t="s">
        <v>151</v>
      </c>
    </row>
    <row r="15" spans="2:35" ht="15.75" thickBot="1">
      <c r="B15" t="s">
        <v>170</v>
      </c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</row>
    <row r="16" spans="2:35" ht="15.75" thickBot="1">
      <c r="B16" s="69">
        <v>9</v>
      </c>
      <c r="C16" s="52"/>
      <c r="D16" s="52" t="s">
        <v>152</v>
      </c>
      <c r="E16" s="52"/>
      <c r="F16" s="52"/>
      <c r="G16" s="52"/>
      <c r="H16" s="70" cm="1">
        <f t="array" aca="1" ref="H16" ca="1">INDIRECT(ADDRESS(ROW(AUX_INTERNAL!D4)+MATCH(B6,AUX_INTERNAL!C4:C11,0)-1,4,,,"AUX_INTERNAL"))-1</f>
        <v>11</v>
      </c>
      <c r="I16" s="52" t="s">
        <v>153</v>
      </c>
      <c r="J16" s="52"/>
      <c r="K16" s="52"/>
      <c r="L16" s="71">
        <f ca="1">IF(B16&lt;H16,B16,H16)</f>
        <v>9</v>
      </c>
    </row>
    <row r="17" spans="2:35">
      <c r="B17" s="14"/>
      <c r="I17" s="14"/>
      <c r="J17" s="14"/>
    </row>
    <row r="18" spans="2:35">
      <c r="B18" s="14" t="s">
        <v>158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2:35" ht="15.75" thickBot="1">
      <c r="B19" t="s">
        <v>172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 spans="2:35">
      <c r="B20" s="55" t="s">
        <v>150</v>
      </c>
      <c r="C20" s="61" t="s">
        <v>159</v>
      </c>
      <c r="D20" s="62" t="s">
        <v>160</v>
      </c>
      <c r="E20" t="s">
        <v>164</v>
      </c>
    </row>
    <row r="21" spans="2:35">
      <c r="B21" s="63">
        <v>0</v>
      </c>
      <c r="C21" s="9">
        <v>0</v>
      </c>
      <c r="D21" s="64">
        <v>3</v>
      </c>
      <c r="E21" t="str">
        <f>"Power number  " &amp; B21&amp; " is obtained from voltage channel " &amp; C21&amp; " and current channel " &amp;D21</f>
        <v>Power number  0 is obtained from voltage channel 0 and current channel 3</v>
      </c>
    </row>
    <row r="22" spans="2:35">
      <c r="B22" s="63">
        <f>1+B21</f>
        <v>1</v>
      </c>
      <c r="C22" s="9">
        <v>0</v>
      </c>
      <c r="D22" s="64">
        <v>4</v>
      </c>
      <c r="E22" t="str">
        <f>"Power number  " &amp; B22&amp; " is obtained from voltage channel " &amp; C22&amp; " and current channel " &amp;D22</f>
        <v>Power number  1 is obtained from voltage channel 0 and current channel 4</v>
      </c>
      <c r="AB22" s="14"/>
      <c r="AC22" s="14"/>
      <c r="AD22" s="14"/>
      <c r="AE22" s="14"/>
      <c r="AF22" s="14"/>
      <c r="AG22" s="14"/>
      <c r="AH22" s="14"/>
      <c r="AI22" s="14"/>
    </row>
    <row r="23" spans="2:35">
      <c r="B23" s="63">
        <f t="shared" ref="B23:B51" si="31">1+B22</f>
        <v>2</v>
      </c>
      <c r="C23" s="9">
        <v>0</v>
      </c>
      <c r="D23" s="64">
        <v>5</v>
      </c>
      <c r="E23" t="s">
        <v>165</v>
      </c>
    </row>
    <row r="24" spans="2:35">
      <c r="B24" s="63">
        <f t="shared" si="31"/>
        <v>3</v>
      </c>
      <c r="C24" s="9">
        <v>1</v>
      </c>
      <c r="D24" s="64">
        <v>6</v>
      </c>
      <c r="E24" t="s">
        <v>165</v>
      </c>
    </row>
    <row r="25" spans="2:35">
      <c r="B25" s="63">
        <f t="shared" si="31"/>
        <v>4</v>
      </c>
      <c r="C25" s="9">
        <v>1</v>
      </c>
      <c r="D25" s="64">
        <v>7</v>
      </c>
      <c r="E25" t="s">
        <v>165</v>
      </c>
    </row>
    <row r="26" spans="2:35">
      <c r="B26" s="63">
        <f t="shared" si="31"/>
        <v>5</v>
      </c>
      <c r="C26" s="9">
        <v>1</v>
      </c>
      <c r="D26" s="64">
        <v>8</v>
      </c>
      <c r="E26" t="s">
        <v>165</v>
      </c>
    </row>
    <row r="27" spans="2:35">
      <c r="B27" s="63">
        <f t="shared" si="31"/>
        <v>6</v>
      </c>
      <c r="C27" s="9">
        <v>2</v>
      </c>
      <c r="D27" s="64">
        <v>9</v>
      </c>
      <c r="E27" t="s">
        <v>165</v>
      </c>
    </row>
    <row r="28" spans="2:35">
      <c r="B28" s="63">
        <f t="shared" si="31"/>
        <v>7</v>
      </c>
      <c r="C28" s="9">
        <v>2</v>
      </c>
      <c r="D28" s="64">
        <v>10</v>
      </c>
      <c r="E28" t="s">
        <v>165</v>
      </c>
    </row>
    <row r="29" spans="2:35">
      <c r="B29" s="63">
        <f t="shared" si="31"/>
        <v>8</v>
      </c>
      <c r="C29" s="9">
        <v>2</v>
      </c>
      <c r="D29" s="64">
        <v>11</v>
      </c>
      <c r="E29" t="s">
        <v>165</v>
      </c>
    </row>
    <row r="30" spans="2:35">
      <c r="B30" s="63">
        <f t="shared" si="31"/>
        <v>9</v>
      </c>
      <c r="C30" s="9">
        <v>0</v>
      </c>
      <c r="D30" s="64">
        <v>0</v>
      </c>
      <c r="E30" t="s">
        <v>165</v>
      </c>
    </row>
    <row r="31" spans="2:35">
      <c r="B31" s="63">
        <f t="shared" si="31"/>
        <v>10</v>
      </c>
      <c r="C31" s="9">
        <v>0</v>
      </c>
      <c r="D31" s="64">
        <v>0</v>
      </c>
      <c r="E31" t="s">
        <v>165</v>
      </c>
    </row>
    <row r="32" spans="2:35">
      <c r="B32" s="63">
        <f t="shared" si="31"/>
        <v>11</v>
      </c>
      <c r="C32" s="9">
        <v>0</v>
      </c>
      <c r="D32" s="64">
        <v>0</v>
      </c>
      <c r="E32" t="s">
        <v>165</v>
      </c>
    </row>
    <row r="33" spans="2:5">
      <c r="B33" s="63">
        <f t="shared" si="31"/>
        <v>12</v>
      </c>
      <c r="C33" s="9">
        <v>0</v>
      </c>
      <c r="D33" s="64">
        <v>0</v>
      </c>
      <c r="E33" t="s">
        <v>165</v>
      </c>
    </row>
    <row r="34" spans="2:5">
      <c r="B34" s="63">
        <f t="shared" si="31"/>
        <v>13</v>
      </c>
      <c r="C34" s="9">
        <v>0</v>
      </c>
      <c r="D34" s="64">
        <v>0</v>
      </c>
      <c r="E34" t="s">
        <v>165</v>
      </c>
    </row>
    <row r="35" spans="2:5">
      <c r="B35" s="63">
        <f t="shared" si="31"/>
        <v>14</v>
      </c>
      <c r="C35" s="9">
        <v>0</v>
      </c>
      <c r="D35" s="64">
        <v>0</v>
      </c>
      <c r="E35" t="s">
        <v>165</v>
      </c>
    </row>
    <row r="36" spans="2:5">
      <c r="B36" s="63">
        <f t="shared" si="31"/>
        <v>15</v>
      </c>
      <c r="C36" s="9">
        <v>0</v>
      </c>
      <c r="D36" s="64">
        <v>0</v>
      </c>
      <c r="E36" t="s">
        <v>165</v>
      </c>
    </row>
    <row r="37" spans="2:5">
      <c r="B37" s="63">
        <f t="shared" si="31"/>
        <v>16</v>
      </c>
      <c r="C37" s="9">
        <v>0</v>
      </c>
      <c r="D37" s="64">
        <v>0</v>
      </c>
      <c r="E37" t="s">
        <v>165</v>
      </c>
    </row>
    <row r="38" spans="2:5">
      <c r="B38" s="63">
        <f t="shared" si="31"/>
        <v>17</v>
      </c>
      <c r="C38" s="9">
        <v>0</v>
      </c>
      <c r="D38" s="64">
        <v>0</v>
      </c>
      <c r="E38" t="s">
        <v>165</v>
      </c>
    </row>
    <row r="39" spans="2:5">
      <c r="B39" s="63">
        <f t="shared" si="31"/>
        <v>18</v>
      </c>
      <c r="C39" s="9">
        <v>0</v>
      </c>
      <c r="D39" s="64">
        <v>0</v>
      </c>
      <c r="E39" t="s">
        <v>165</v>
      </c>
    </row>
    <row r="40" spans="2:5">
      <c r="B40" s="63">
        <f t="shared" si="31"/>
        <v>19</v>
      </c>
      <c r="C40" s="9">
        <v>0</v>
      </c>
      <c r="D40" s="64">
        <v>0</v>
      </c>
      <c r="E40" t="s">
        <v>165</v>
      </c>
    </row>
    <row r="41" spans="2:5">
      <c r="B41" s="63">
        <f t="shared" si="31"/>
        <v>20</v>
      </c>
      <c r="C41" s="9">
        <v>0</v>
      </c>
      <c r="D41" s="64">
        <v>0</v>
      </c>
      <c r="E41" t="s">
        <v>165</v>
      </c>
    </row>
    <row r="42" spans="2:5">
      <c r="B42" s="63">
        <f t="shared" si="31"/>
        <v>21</v>
      </c>
      <c r="C42" s="9">
        <v>0</v>
      </c>
      <c r="D42" s="64">
        <v>0</v>
      </c>
      <c r="E42" t="s">
        <v>165</v>
      </c>
    </row>
    <row r="43" spans="2:5">
      <c r="B43" s="63">
        <f t="shared" si="31"/>
        <v>22</v>
      </c>
      <c r="C43" s="9">
        <v>0</v>
      </c>
      <c r="D43" s="64">
        <v>0</v>
      </c>
      <c r="E43" t="s">
        <v>165</v>
      </c>
    </row>
    <row r="44" spans="2:5">
      <c r="B44" s="63">
        <f t="shared" si="31"/>
        <v>23</v>
      </c>
      <c r="C44" s="9">
        <v>0</v>
      </c>
      <c r="D44" s="64">
        <v>0</v>
      </c>
      <c r="E44" t="s">
        <v>165</v>
      </c>
    </row>
    <row r="45" spans="2:5">
      <c r="B45" s="63">
        <f t="shared" si="31"/>
        <v>24</v>
      </c>
      <c r="C45" s="9">
        <v>0</v>
      </c>
      <c r="D45" s="64">
        <v>0</v>
      </c>
      <c r="E45" t="s">
        <v>165</v>
      </c>
    </row>
    <row r="46" spans="2:5">
      <c r="B46" s="63">
        <f t="shared" si="31"/>
        <v>25</v>
      </c>
      <c r="C46" s="9">
        <v>0</v>
      </c>
      <c r="D46" s="64">
        <v>0</v>
      </c>
      <c r="E46" t="s">
        <v>165</v>
      </c>
    </row>
    <row r="47" spans="2:5">
      <c r="B47" s="63">
        <f t="shared" si="31"/>
        <v>26</v>
      </c>
      <c r="C47" s="9">
        <v>0</v>
      </c>
      <c r="D47" s="64">
        <v>0</v>
      </c>
      <c r="E47" t="s">
        <v>165</v>
      </c>
    </row>
    <row r="48" spans="2:5">
      <c r="B48" s="63">
        <f t="shared" si="31"/>
        <v>27</v>
      </c>
      <c r="C48" s="9">
        <v>0</v>
      </c>
      <c r="D48" s="64">
        <v>0</v>
      </c>
      <c r="E48" t="s">
        <v>165</v>
      </c>
    </row>
    <row r="49" spans="2:28">
      <c r="B49" s="63">
        <f t="shared" si="31"/>
        <v>28</v>
      </c>
      <c r="C49" s="9">
        <v>0</v>
      </c>
      <c r="D49" s="64">
        <v>0</v>
      </c>
      <c r="E49" t="s">
        <v>165</v>
      </c>
    </row>
    <row r="50" spans="2:28">
      <c r="B50" s="63">
        <f t="shared" si="31"/>
        <v>29</v>
      </c>
      <c r="C50" s="9">
        <v>0</v>
      </c>
      <c r="D50" s="64">
        <v>0</v>
      </c>
      <c r="E50" t="s">
        <v>165</v>
      </c>
    </row>
    <row r="51" spans="2:28" ht="15.75" thickBot="1">
      <c r="B51" s="65">
        <f t="shared" si="31"/>
        <v>30</v>
      </c>
      <c r="C51" s="59">
        <v>0</v>
      </c>
      <c r="D51" s="60">
        <v>0</v>
      </c>
      <c r="E51" t="s">
        <v>165</v>
      </c>
    </row>
    <row r="53" spans="2:28">
      <c r="B53" s="14" t="s">
        <v>404</v>
      </c>
    </row>
    <row r="54" spans="2:28" ht="15.75" thickBot="1"/>
    <row r="55" spans="2:28" ht="15.75" thickBot="1">
      <c r="B55" s="37" t="s">
        <v>59</v>
      </c>
      <c r="C55" s="48">
        <v>1651</v>
      </c>
      <c r="L55" s="128" t="s">
        <v>405</v>
      </c>
      <c r="M55" s="116"/>
      <c r="N55" s="117"/>
      <c r="O55" s="128" t="str">
        <f>MID(DEC2HEX(ROUND(C55*2^10,0),10),3,8)</f>
        <v>0019CC00</v>
      </c>
      <c r="P55" s="117"/>
    </row>
    <row r="56" spans="2:28" ht="15.75" thickBot="1">
      <c r="R56" t="s">
        <v>450</v>
      </c>
    </row>
    <row r="57" spans="2:28" ht="15.75" thickBot="1">
      <c r="B57" s="37" t="s">
        <v>61</v>
      </c>
      <c r="C57" s="122">
        <v>1000</v>
      </c>
      <c r="D57" s="123"/>
      <c r="E57" s="124"/>
      <c r="F57" s="125" t="s">
        <v>62</v>
      </c>
      <c r="G57" s="123"/>
      <c r="H57" s="124"/>
      <c r="I57" s="48">
        <v>1.62</v>
      </c>
      <c r="J57" s="37" t="s">
        <v>63</v>
      </c>
      <c r="K57" s="48">
        <v>1</v>
      </c>
      <c r="L57" s="129" t="s">
        <v>405</v>
      </c>
      <c r="M57" s="123"/>
      <c r="N57" s="124"/>
      <c r="O57" s="128" t="str">
        <f>MID(DEC2HEX(ROUND(C57*2^10/2/I57/K57,0),10),3,8)</f>
        <v>0004D291</v>
      </c>
      <c r="P57" s="117"/>
      <c r="R57" s="48" t="s">
        <v>175</v>
      </c>
      <c r="T57" s="114" t="str">
        <f>IF(R57="Y",O57,IF(R58="Y",O58,O59))</f>
        <v>0004D291</v>
      </c>
      <c r="U57" s="113"/>
    </row>
    <row r="58" spans="2:28" ht="15.75" thickBot="1">
      <c r="B58" s="37" t="s">
        <v>65</v>
      </c>
      <c r="C58" s="121">
        <v>100</v>
      </c>
      <c r="D58" s="116"/>
      <c r="E58" s="117"/>
      <c r="F58" s="126" t="s">
        <v>63</v>
      </c>
      <c r="G58" s="116"/>
      <c r="H58" s="117"/>
      <c r="I58" s="48">
        <v>8</v>
      </c>
      <c r="J58" s="37"/>
      <c r="K58" s="37"/>
      <c r="L58" s="129" t="s">
        <v>405</v>
      </c>
      <c r="M58" s="123"/>
      <c r="N58" s="124"/>
      <c r="O58" s="128" t="str">
        <f>MID(DEC2HEX(ROUND(2^10*1000000/C58/I58,0),10),3,8)</f>
        <v>00138800</v>
      </c>
      <c r="P58" s="117"/>
      <c r="R58" s="48" t="s">
        <v>176</v>
      </c>
    </row>
    <row r="59" spans="2:28" ht="15.75" thickBot="1">
      <c r="B59" s="37" t="s">
        <v>66</v>
      </c>
      <c r="C59" s="118">
        <v>500</v>
      </c>
      <c r="D59" s="119"/>
      <c r="E59" s="120"/>
      <c r="F59" s="127" t="s">
        <v>63</v>
      </c>
      <c r="G59" s="119"/>
      <c r="H59" s="120"/>
      <c r="I59" s="48">
        <v>4</v>
      </c>
      <c r="J59" s="37"/>
      <c r="K59" s="37"/>
      <c r="L59" s="128" t="s">
        <v>405</v>
      </c>
      <c r="M59" s="116"/>
      <c r="N59" s="117"/>
      <c r="O59" s="128" t="str">
        <f>MID(DEC2HEX(ROUND(2^10*1000000/C59/I59,0),10),3,8)</f>
        <v>0007D000</v>
      </c>
      <c r="P59" s="117"/>
      <c r="R59" s="48" t="s">
        <v>176</v>
      </c>
    </row>
    <row r="62" spans="2:28">
      <c r="B62" s="14" t="s">
        <v>403</v>
      </c>
    </row>
    <row r="63" spans="2:28">
      <c r="B63" t="s">
        <v>453</v>
      </c>
    </row>
    <row r="64" spans="2:28">
      <c r="B64" s="11" t="str">
        <f ca="1">"DCW[1](" &amp; DEC2HEX((MATCH(B6,AUX_INTERNAL!C4:C11,0)-1)*2^28+L16*2^8) &amp; ")"</f>
        <v>DCW[1](50000900)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2:28">
      <c r="B65" s="11" t="str">
        <f ca="1">AUX_INTERNAL!J24</f>
        <v>DCM(4:4000300; 5:6010500; 6:8010701; 7:A020902; 8:B02)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2:28">
      <c r="B66" s="11" t="str">
        <f>"DCW[21]("&amp;DEC2HEX(C12*2^0+D12*2^2+E12*2^4+F12*2^6+G12*2^8+H12*2^10+I12*2^12+J12*2^14+K12*2^16+L12*2^18+M12*2^20+N12*2^22+O12*2^24+P12*2^26+Q12*2^28+R12*2^30,8)&amp;")"</f>
        <v>DCW[21](0000003F)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2:28">
      <c r="B67" s="11" t="str">
        <f>"DCW[22]("&amp;DEC2HEX(S12*2^0+T12*2^2+U12*2^4+V12*2^6+W12*2^8+X12*2^10+Y12*2^12+Z12*2^14+AA12*2^16+AB12*2^18+AC12*2^20+AD12*2^22+AE12*2^24+AF12*2^26+AG12*2^28+AH12*2^30,8)&amp;")"</f>
        <v>DCW[22](00000000)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2:28">
      <c r="B68" s="11" t="str">
        <f ca="1">AUX_INTERNAL!J59</f>
        <v>DCM(106:0019CC00; 107:0019CC00; 108:0019CC00; 109:0004D291; 110:0004D291; 111:0004D291; 112:0004D291; 113:0004D291; 114:0004D291; 115:0004D291; 116:0004D291; 117:0004D291)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2:28">
      <c r="B69" s="11" t="s">
        <v>454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80" spans="2:28">
      <c r="B80" s="8"/>
      <c r="C80" s="8"/>
      <c r="D80" s="8"/>
      <c r="E80" s="8"/>
      <c r="F80" s="8"/>
      <c r="G80" s="8"/>
      <c r="H80" s="8"/>
      <c r="I80" s="8"/>
      <c r="J80" s="8"/>
    </row>
    <row r="81" spans="2:10">
      <c r="B81" s="8"/>
      <c r="C81" s="8"/>
      <c r="D81" s="8"/>
      <c r="E81" s="8"/>
      <c r="F81" s="8"/>
      <c r="G81" s="8"/>
      <c r="H81" s="8"/>
      <c r="I81" s="8"/>
      <c r="J81" s="8"/>
    </row>
    <row r="82" spans="2:10">
      <c r="B82" s="8"/>
      <c r="C82" s="8"/>
      <c r="D82" s="8"/>
      <c r="E82" s="8"/>
      <c r="F82" s="8"/>
      <c r="G82" s="8"/>
      <c r="H82" s="8"/>
      <c r="I82" s="8"/>
      <c r="J82" s="8"/>
    </row>
    <row r="83" spans="2:10">
      <c r="B83" s="8"/>
      <c r="C83" s="8"/>
      <c r="D83" s="8"/>
      <c r="E83" s="8"/>
      <c r="F83" s="8"/>
      <c r="G83" s="8"/>
      <c r="H83" s="8"/>
      <c r="I83" s="8"/>
      <c r="J83" s="8"/>
    </row>
    <row r="84" spans="2:10">
      <c r="B84" s="8"/>
      <c r="C84" s="8"/>
      <c r="D84" s="8"/>
      <c r="E84" s="8"/>
      <c r="F84" s="8"/>
      <c r="G84" s="8"/>
      <c r="H84" s="8"/>
      <c r="I84" s="8"/>
      <c r="J84" s="8"/>
    </row>
    <row r="85" spans="2:10">
      <c r="B85" s="8"/>
      <c r="C85" s="8"/>
      <c r="D85" s="8"/>
      <c r="E85" s="8"/>
      <c r="F85" s="8"/>
      <c r="G85" s="8"/>
      <c r="H85" s="8"/>
      <c r="I85" s="8"/>
      <c r="J85" s="8"/>
    </row>
    <row r="86" spans="2:10">
      <c r="B86" s="8"/>
      <c r="C86" s="8"/>
      <c r="D86" s="8"/>
      <c r="E86" s="8"/>
      <c r="F86" s="8"/>
      <c r="G86" s="8"/>
      <c r="H86" s="8"/>
      <c r="I86" s="8"/>
      <c r="J86" s="8"/>
    </row>
    <row r="87" spans="2:10">
      <c r="B87" s="8"/>
      <c r="C87" s="8"/>
      <c r="D87" s="8"/>
      <c r="E87" s="8"/>
      <c r="F87" s="8"/>
      <c r="G87" s="8"/>
      <c r="H87" s="8"/>
      <c r="I87" s="8"/>
      <c r="J87" s="8"/>
    </row>
    <row r="88" spans="2:10">
      <c r="B88" s="8"/>
      <c r="C88" s="8"/>
      <c r="D88" s="8"/>
      <c r="E88" s="8"/>
      <c r="F88" s="8"/>
      <c r="G88" s="8"/>
      <c r="H88" s="8"/>
      <c r="I88" s="8"/>
      <c r="J88" s="8"/>
    </row>
    <row r="89" spans="2:10">
      <c r="B89" s="8"/>
      <c r="C89" s="8"/>
      <c r="D89" s="8"/>
      <c r="E89" s="8"/>
      <c r="F89" s="8"/>
      <c r="G89" s="8"/>
      <c r="H89" s="8"/>
      <c r="I89" s="8"/>
      <c r="J89" s="8"/>
    </row>
    <row r="90" spans="2:10">
      <c r="B90" s="8"/>
      <c r="C90" s="8"/>
      <c r="D90" s="8"/>
      <c r="E90" s="8"/>
      <c r="F90" s="8"/>
      <c r="G90" s="8"/>
      <c r="H90" s="8"/>
      <c r="I90" s="8"/>
      <c r="J90" s="8"/>
    </row>
    <row r="91" spans="2:10">
      <c r="B91" s="8"/>
      <c r="C91" s="8"/>
      <c r="D91" s="8"/>
      <c r="E91" s="8"/>
      <c r="F91" s="8"/>
      <c r="G91" s="8"/>
      <c r="H91" s="8"/>
      <c r="I91" s="8"/>
      <c r="J91" s="8"/>
    </row>
    <row r="92" spans="2:10">
      <c r="B92" s="8"/>
      <c r="C92" s="8"/>
      <c r="D92" s="8"/>
      <c r="E92" s="8"/>
      <c r="F92" s="8"/>
      <c r="G92" s="8"/>
      <c r="H92" s="8"/>
      <c r="I92" s="8"/>
      <c r="J92" s="8"/>
    </row>
    <row r="93" spans="2:10">
      <c r="B93" s="8"/>
      <c r="C93" s="8"/>
      <c r="D93" s="8"/>
      <c r="E93" s="8"/>
      <c r="F93" s="8"/>
      <c r="G93" s="8"/>
      <c r="H93" s="8"/>
      <c r="I93" s="8"/>
      <c r="J93" s="8"/>
    </row>
    <row r="94" spans="2:10">
      <c r="B94" s="8"/>
      <c r="C94" s="8"/>
      <c r="D94" s="8"/>
      <c r="E94" s="8"/>
      <c r="F94" s="8"/>
      <c r="G94" s="8"/>
      <c r="H94" s="8"/>
      <c r="I94" s="8"/>
      <c r="J94" s="8"/>
    </row>
    <row r="95" spans="2:10">
      <c r="B95" s="8"/>
      <c r="C95" s="8"/>
      <c r="D95" s="8"/>
      <c r="E95" s="8"/>
      <c r="F95" s="8"/>
      <c r="G95" s="8"/>
      <c r="H95" s="8"/>
      <c r="I95" s="8"/>
      <c r="J95" s="8"/>
    </row>
    <row r="96" spans="2:10">
      <c r="B96" s="8"/>
      <c r="C96" s="8"/>
      <c r="D96" s="8"/>
      <c r="E96" s="8"/>
      <c r="F96" s="8"/>
      <c r="G96" s="8"/>
      <c r="H96" s="8"/>
      <c r="I96" s="8"/>
      <c r="J96" s="8"/>
    </row>
    <row r="97" spans="2:10">
      <c r="B97" s="8"/>
      <c r="C97" s="8"/>
      <c r="D97" s="8"/>
      <c r="E97" s="8"/>
      <c r="F97" s="8"/>
      <c r="G97" s="8"/>
      <c r="H97" s="8"/>
      <c r="I97" s="8"/>
      <c r="J97" s="8"/>
    </row>
    <row r="98" spans="2:10">
      <c r="B98" s="8"/>
      <c r="C98" s="8"/>
      <c r="D98" s="8"/>
      <c r="E98" s="8"/>
      <c r="F98" s="8"/>
      <c r="G98" s="8"/>
      <c r="H98" s="8"/>
      <c r="I98" s="8"/>
      <c r="J98" s="8"/>
    </row>
    <row r="99" spans="2:10">
      <c r="B99" s="8"/>
      <c r="C99" s="8"/>
      <c r="D99" s="8"/>
      <c r="E99" s="8"/>
      <c r="F99" s="8"/>
      <c r="G99" s="8"/>
      <c r="H99" s="8"/>
      <c r="I99" s="8"/>
      <c r="J99" s="8"/>
    </row>
    <row r="100" spans="2:10">
      <c r="B100" s="8"/>
      <c r="C100" s="8"/>
      <c r="D100" s="8"/>
      <c r="E100" s="8"/>
      <c r="F100" s="8"/>
      <c r="G100" s="8"/>
      <c r="H100" s="8"/>
      <c r="I100" s="8"/>
      <c r="J100" s="8"/>
    </row>
    <row r="101" spans="2:10">
      <c r="B101" s="8"/>
      <c r="C101" s="8"/>
      <c r="D101" s="8"/>
      <c r="E101" s="8"/>
      <c r="F101" s="8"/>
      <c r="G101" s="8"/>
      <c r="H101" s="8"/>
      <c r="I101" s="8"/>
      <c r="J101" s="8"/>
    </row>
    <row r="102" spans="2:10">
      <c r="B102" s="8"/>
      <c r="C102" s="8"/>
      <c r="D102" s="8"/>
      <c r="E102" s="8"/>
      <c r="F102" s="8"/>
      <c r="G102" s="8"/>
      <c r="H102" s="8"/>
      <c r="I102" s="8"/>
      <c r="J102" s="8"/>
    </row>
    <row r="103" spans="2:10">
      <c r="B103" s="8"/>
      <c r="C103" s="8"/>
      <c r="D103" s="8"/>
      <c r="E103" s="8"/>
      <c r="F103" s="8"/>
      <c r="G103" s="8"/>
      <c r="H103" s="8"/>
      <c r="I103" s="8"/>
      <c r="J103" s="8"/>
    </row>
    <row r="104" spans="2:10">
      <c r="B104" s="8"/>
      <c r="C104" s="8"/>
      <c r="D104" s="8"/>
      <c r="E104" s="8"/>
      <c r="F104" s="8"/>
      <c r="G104" s="8"/>
      <c r="H104" s="8"/>
      <c r="I104" s="8"/>
      <c r="J104" s="8"/>
    </row>
    <row r="105" spans="2:10">
      <c r="B105" s="8"/>
      <c r="C105" s="8"/>
      <c r="D105" s="8"/>
      <c r="E105" s="8"/>
      <c r="F105" s="8"/>
      <c r="G105" s="8"/>
      <c r="H105" s="8"/>
      <c r="I105" s="8"/>
      <c r="J105" s="8"/>
    </row>
    <row r="106" spans="2:10">
      <c r="B106" s="8"/>
      <c r="C106" s="8"/>
      <c r="D106" s="8"/>
      <c r="E106" s="8"/>
      <c r="F106" s="8"/>
      <c r="G106" s="8"/>
      <c r="H106" s="8"/>
      <c r="I106" s="8"/>
      <c r="J106" s="8"/>
    </row>
    <row r="107" spans="2:10">
      <c r="B107" s="8"/>
      <c r="C107" s="8"/>
      <c r="D107" s="8"/>
      <c r="E107" s="8"/>
      <c r="F107" s="8"/>
      <c r="G107" s="8"/>
      <c r="H107" s="8"/>
      <c r="I107" s="8"/>
      <c r="J107" s="8"/>
    </row>
  </sheetData>
  <mergeCells count="15">
    <mergeCell ref="L55:N55"/>
    <mergeCell ref="O55:P55"/>
    <mergeCell ref="L57:N57"/>
    <mergeCell ref="L58:N58"/>
    <mergeCell ref="L59:N59"/>
    <mergeCell ref="O57:P57"/>
    <mergeCell ref="O58:P58"/>
    <mergeCell ref="O59:P59"/>
    <mergeCell ref="B6:J6"/>
    <mergeCell ref="C59:E59"/>
    <mergeCell ref="C58:E58"/>
    <mergeCell ref="C57:E57"/>
    <mergeCell ref="F57:H57"/>
    <mergeCell ref="F58:H58"/>
    <mergeCell ref="F59:H59"/>
  </mergeCells>
  <conditionalFormatting sqref="B21:B51">
    <cfRule type="cellIs" dxfId="0" priority="1" operator="equal">
      <formula>$L$16-1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valid input" error="Onyl the elements in the list are allowed" xr:uid="{45340411-F860-430A-92A1-74AD1C36CB67}">
          <x14:formula1>
            <xm:f>AUX_INTERNAL!$C$4:$C$11</xm:f>
          </x14:formula1>
          <xm:sqref>B6</xm:sqref>
        </x14:dataValidation>
        <x14:dataValidation type="list" allowBlank="1" showInputMessage="1" showErrorMessage="1" xr:uid="{57176F13-1195-4DFE-8347-130F1AB53719}">
          <x14:formula1>
            <xm:f>AUX_INTERNAL!$C$16:$C$19</xm:f>
          </x14:formula1>
          <xm:sqref>I18:AI18 C11:AH11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91F0B-600E-4111-9B78-1BF75E13E7DB}">
  <sheetPr>
    <pageSetUpPr fitToPage="1"/>
  </sheetPr>
  <dimension ref="B1:K407"/>
  <sheetViews>
    <sheetView tabSelected="1" topLeftCell="A389" zoomScaleNormal="100" workbookViewId="0">
      <selection activeCell="B406" sqref="B406"/>
    </sheetView>
  </sheetViews>
  <sheetFormatPr defaultRowHeight="15"/>
  <cols>
    <col min="2" max="2" width="22.7109375" style="4" customWidth="1"/>
    <col min="3" max="3" width="24.42578125" customWidth="1"/>
    <col min="4" max="4" width="25.140625" customWidth="1"/>
    <col min="5" max="5" width="29.42578125" customWidth="1"/>
    <col min="6" max="6" width="22.28515625" customWidth="1"/>
    <col min="7" max="7" width="17.140625" customWidth="1"/>
    <col min="8" max="8" width="24.5703125" customWidth="1"/>
    <col min="9" max="9" width="18.42578125" bestFit="1" customWidth="1"/>
    <col min="10" max="10" width="5" hidden="1" customWidth="1"/>
    <col min="11" max="11" width="11" bestFit="1" customWidth="1"/>
    <col min="12" max="12" width="12.7109375" bestFit="1" customWidth="1"/>
    <col min="13" max="13" width="11.28515625" bestFit="1" customWidth="1"/>
    <col min="15" max="15" width="18.28515625" bestFit="1" customWidth="1"/>
  </cols>
  <sheetData>
    <row r="1" spans="2:7" ht="23.25">
      <c r="B1" s="17" t="s">
        <v>171</v>
      </c>
    </row>
    <row r="2" spans="2:7" ht="18.75">
      <c r="D2" s="5"/>
    </row>
    <row r="3" spans="2:7" ht="18.75">
      <c r="B3" s="5" t="s">
        <v>455</v>
      </c>
      <c r="D3" s="5"/>
    </row>
    <row r="4" spans="2:7" ht="19.5" thickBot="1">
      <c r="B4" s="20" t="s">
        <v>30</v>
      </c>
      <c r="D4" s="5"/>
    </row>
    <row r="5" spans="2:7" ht="15.75" customHeight="1" thickBot="1">
      <c r="B5" s="98" t="s">
        <v>0</v>
      </c>
      <c r="C5" s="100">
        <v>30</v>
      </c>
      <c r="E5" s="105" t="s">
        <v>388</v>
      </c>
      <c r="F5" s="106" t="s">
        <v>389</v>
      </c>
      <c r="G5" t="s">
        <v>397</v>
      </c>
    </row>
    <row r="6" spans="2:7" ht="15.75" customHeight="1" thickBot="1">
      <c r="B6" s="98" t="s">
        <v>1</v>
      </c>
      <c r="C6" s="101">
        <v>220</v>
      </c>
    </row>
    <row r="7" spans="2:7" ht="15.75" customHeight="1" thickBot="1">
      <c r="B7" s="99" t="s">
        <v>2</v>
      </c>
      <c r="C7" s="102">
        <v>50</v>
      </c>
    </row>
    <row r="8" spans="2:7" ht="15.75" customHeight="1" thickBot="1">
      <c r="B8" s="99" t="s">
        <v>3</v>
      </c>
      <c r="C8" s="103">
        <v>60</v>
      </c>
    </row>
    <row r="9" spans="2:7" ht="15.75" customHeight="1" thickBot="1">
      <c r="B9" s="99" t="s">
        <v>4</v>
      </c>
      <c r="C9" s="109">
        <v>120</v>
      </c>
    </row>
    <row r="10" spans="2:7" ht="15.75" customHeight="1">
      <c r="B10"/>
    </row>
    <row r="11" spans="2:7" ht="15.75" customHeight="1" thickBot="1">
      <c r="B11"/>
    </row>
    <row r="12" spans="2:7" ht="15.75" customHeight="1" thickBot="1">
      <c r="B12" s="18" t="s">
        <v>166</v>
      </c>
      <c r="C12" s="23" t="s">
        <v>101</v>
      </c>
      <c r="D12" s="23" t="s">
        <v>173</v>
      </c>
      <c r="E12" s="23" t="s">
        <v>174</v>
      </c>
    </row>
    <row r="13" spans="2:7" ht="15.75" customHeight="1" thickBot="1">
      <c r="B13" s="19">
        <v>0</v>
      </c>
      <c r="C13" s="73" t="str">
        <f>CONFIGURATOR!C11</f>
        <v>V</v>
      </c>
      <c r="D13" s="104">
        <f t="shared" ref="D13:D44" si="0">IF(C13="V",$C$6,$C$5)</f>
        <v>220</v>
      </c>
      <c r="E13" s="108" t="s">
        <v>175</v>
      </c>
      <c r="F13" s="66"/>
    </row>
    <row r="14" spans="2:7" ht="15.75" customHeight="1" thickBot="1">
      <c r="B14" s="19">
        <v>1</v>
      </c>
      <c r="C14" s="73" t="str">
        <f>CONFIGURATOR!D11</f>
        <v>V</v>
      </c>
      <c r="D14" s="104">
        <f t="shared" si="0"/>
        <v>220</v>
      </c>
      <c r="E14" s="108" t="s">
        <v>175</v>
      </c>
    </row>
    <row r="15" spans="2:7" ht="15.75" customHeight="1" thickBot="1">
      <c r="B15" s="19">
        <v>2</v>
      </c>
      <c r="C15" s="73" t="str">
        <f>CONFIGURATOR!E11</f>
        <v>V</v>
      </c>
      <c r="D15" s="104">
        <f t="shared" si="0"/>
        <v>220</v>
      </c>
      <c r="E15" s="108" t="s">
        <v>175</v>
      </c>
    </row>
    <row r="16" spans="2:7" ht="15.75" customHeight="1" thickBot="1">
      <c r="B16" s="19">
        <v>3</v>
      </c>
      <c r="C16" s="73" t="str">
        <f>CONFIGURATOR!F11</f>
        <v>I(CT)</v>
      </c>
      <c r="D16" s="104">
        <f t="shared" si="0"/>
        <v>30</v>
      </c>
      <c r="E16" s="108" t="s">
        <v>175</v>
      </c>
    </row>
    <row r="17" spans="2:5" ht="15.75" customHeight="1" thickBot="1">
      <c r="B17" s="19">
        <v>4</v>
      </c>
      <c r="C17" s="73" t="str">
        <f>CONFIGURATOR!G11</f>
        <v>I(CT)</v>
      </c>
      <c r="D17" s="104">
        <f t="shared" si="0"/>
        <v>30</v>
      </c>
      <c r="E17" s="108" t="s">
        <v>175</v>
      </c>
    </row>
    <row r="18" spans="2:5" ht="15.75" customHeight="1" thickBot="1">
      <c r="B18" s="19">
        <v>5</v>
      </c>
      <c r="C18" s="73" t="str">
        <f>CONFIGURATOR!H11</f>
        <v>I(CT)</v>
      </c>
      <c r="D18" s="104">
        <f t="shared" si="0"/>
        <v>30</v>
      </c>
      <c r="E18" s="108" t="s">
        <v>175</v>
      </c>
    </row>
    <row r="19" spans="2:5" ht="15.75" customHeight="1" thickBot="1">
      <c r="B19" s="19">
        <v>6</v>
      </c>
      <c r="C19" s="73" t="str">
        <f>CONFIGURATOR!I11</f>
        <v>I(CT)</v>
      </c>
      <c r="D19" s="104">
        <f t="shared" si="0"/>
        <v>30</v>
      </c>
      <c r="E19" s="108" t="s">
        <v>176</v>
      </c>
    </row>
    <row r="20" spans="2:5" ht="15.75" customHeight="1" thickBot="1">
      <c r="B20" s="19">
        <v>7</v>
      </c>
      <c r="C20" s="73" t="str">
        <f>CONFIGURATOR!J11</f>
        <v>I(CT)</v>
      </c>
      <c r="D20" s="104">
        <f t="shared" si="0"/>
        <v>30</v>
      </c>
      <c r="E20" s="108" t="s">
        <v>176</v>
      </c>
    </row>
    <row r="21" spans="2:5" ht="15.75" customHeight="1" thickBot="1">
      <c r="B21" s="19">
        <v>8</v>
      </c>
      <c r="C21" s="73" t="str">
        <f>CONFIGURATOR!K11</f>
        <v>I(CT)</v>
      </c>
      <c r="D21" s="104">
        <f t="shared" si="0"/>
        <v>30</v>
      </c>
      <c r="E21" s="108" t="s">
        <v>176</v>
      </c>
    </row>
    <row r="22" spans="2:5" ht="15.75" customHeight="1" thickBot="1">
      <c r="B22" s="19">
        <v>9</v>
      </c>
      <c r="C22" s="73" t="str">
        <f>CONFIGURATOR!L11</f>
        <v>I(CT)</v>
      </c>
      <c r="D22" s="104">
        <f t="shared" si="0"/>
        <v>30</v>
      </c>
      <c r="E22" s="108" t="s">
        <v>176</v>
      </c>
    </row>
    <row r="23" spans="2:5" ht="15.75" customHeight="1" thickBot="1">
      <c r="B23" s="19">
        <v>10</v>
      </c>
      <c r="C23" s="73" t="str">
        <f>CONFIGURATOR!M11</f>
        <v>I(CT)</v>
      </c>
      <c r="D23" s="104">
        <f t="shared" si="0"/>
        <v>30</v>
      </c>
      <c r="E23" s="108" t="s">
        <v>176</v>
      </c>
    </row>
    <row r="24" spans="2:5" ht="15.75" customHeight="1" thickBot="1">
      <c r="B24" s="19">
        <v>11</v>
      </c>
      <c r="C24" s="73" t="str">
        <f>CONFIGURATOR!N11</f>
        <v>I(CT)</v>
      </c>
      <c r="D24" s="104">
        <f t="shared" si="0"/>
        <v>30</v>
      </c>
      <c r="E24" s="108" t="s">
        <v>176</v>
      </c>
    </row>
    <row r="25" spans="2:5" ht="15.75" customHeight="1" thickBot="1">
      <c r="B25" s="19">
        <v>12</v>
      </c>
      <c r="C25" s="73" t="str">
        <f>CONFIGURATOR!O11</f>
        <v>I(CT)</v>
      </c>
      <c r="D25" s="104">
        <f t="shared" si="0"/>
        <v>30</v>
      </c>
      <c r="E25" s="108" t="s">
        <v>176</v>
      </c>
    </row>
    <row r="26" spans="2:5" ht="15.75" customHeight="1" thickBot="1">
      <c r="B26" s="19">
        <v>13</v>
      </c>
      <c r="C26" s="73" t="str">
        <f>CONFIGURATOR!P11</f>
        <v>I(CT)</v>
      </c>
      <c r="D26" s="104">
        <f t="shared" si="0"/>
        <v>30</v>
      </c>
      <c r="E26" s="108" t="s">
        <v>176</v>
      </c>
    </row>
    <row r="27" spans="2:5" ht="15.75" customHeight="1" thickBot="1">
      <c r="B27" s="19">
        <v>14</v>
      </c>
      <c r="C27" s="73" t="str">
        <f>CONFIGURATOR!Q11</f>
        <v>I(CT)</v>
      </c>
      <c r="D27" s="104">
        <f t="shared" si="0"/>
        <v>30</v>
      </c>
      <c r="E27" s="108" t="s">
        <v>176</v>
      </c>
    </row>
    <row r="28" spans="2:5" ht="15.75" customHeight="1" thickBot="1">
      <c r="B28" s="19">
        <v>15</v>
      </c>
      <c r="C28" s="73" t="str">
        <f>CONFIGURATOR!R11</f>
        <v>I(CT)</v>
      </c>
      <c r="D28" s="104">
        <f t="shared" si="0"/>
        <v>30</v>
      </c>
      <c r="E28" s="108" t="s">
        <v>176</v>
      </c>
    </row>
    <row r="29" spans="2:5" ht="15.75" customHeight="1" thickBot="1">
      <c r="B29" s="19">
        <v>16</v>
      </c>
      <c r="C29" s="73" t="str">
        <f>CONFIGURATOR!S11</f>
        <v>I(CT)</v>
      </c>
      <c r="D29" s="104">
        <f t="shared" si="0"/>
        <v>30</v>
      </c>
      <c r="E29" s="108" t="s">
        <v>176</v>
      </c>
    </row>
    <row r="30" spans="2:5" ht="15.75" customHeight="1" thickBot="1">
      <c r="B30" s="19">
        <v>17</v>
      </c>
      <c r="C30" s="73" t="str">
        <f>CONFIGURATOR!T11</f>
        <v>I(CT)</v>
      </c>
      <c r="D30" s="104">
        <f t="shared" si="0"/>
        <v>30</v>
      </c>
      <c r="E30" s="108" t="s">
        <v>176</v>
      </c>
    </row>
    <row r="31" spans="2:5" ht="15.75" customHeight="1" thickBot="1">
      <c r="B31" s="19">
        <v>18</v>
      </c>
      <c r="C31" s="73" t="str">
        <f>CONFIGURATOR!U11</f>
        <v>I(CT)</v>
      </c>
      <c r="D31" s="104">
        <f t="shared" si="0"/>
        <v>30</v>
      </c>
      <c r="E31" s="108" t="s">
        <v>176</v>
      </c>
    </row>
    <row r="32" spans="2:5" ht="15.75" customHeight="1" thickBot="1">
      <c r="B32" s="19">
        <v>19</v>
      </c>
      <c r="C32" s="73" t="str">
        <f>CONFIGURATOR!V11</f>
        <v>I(CT)</v>
      </c>
      <c r="D32" s="104">
        <f t="shared" si="0"/>
        <v>30</v>
      </c>
      <c r="E32" s="108" t="s">
        <v>176</v>
      </c>
    </row>
    <row r="33" spans="2:5" ht="15.75" customHeight="1" thickBot="1">
      <c r="B33" s="19">
        <v>20</v>
      </c>
      <c r="C33" s="73" t="str">
        <f>CONFIGURATOR!W11</f>
        <v>I(CT)</v>
      </c>
      <c r="D33" s="104">
        <f t="shared" si="0"/>
        <v>30</v>
      </c>
      <c r="E33" s="108" t="s">
        <v>176</v>
      </c>
    </row>
    <row r="34" spans="2:5" ht="15.75" customHeight="1" thickBot="1">
      <c r="B34" s="19">
        <v>21</v>
      </c>
      <c r="C34" s="73" t="str">
        <f>CONFIGURATOR!X11</f>
        <v>I(CT)</v>
      </c>
      <c r="D34" s="104">
        <f t="shared" si="0"/>
        <v>30</v>
      </c>
      <c r="E34" s="108" t="s">
        <v>176</v>
      </c>
    </row>
    <row r="35" spans="2:5" ht="15.75" customHeight="1" thickBot="1">
      <c r="B35" s="19">
        <v>22</v>
      </c>
      <c r="C35" s="73" t="str">
        <f>CONFIGURATOR!Y11</f>
        <v>I(CT)</v>
      </c>
      <c r="D35" s="104">
        <f t="shared" si="0"/>
        <v>30</v>
      </c>
      <c r="E35" s="108" t="s">
        <v>176</v>
      </c>
    </row>
    <row r="36" spans="2:5" ht="15.75" customHeight="1" thickBot="1">
      <c r="B36" s="19">
        <v>23</v>
      </c>
      <c r="C36" s="73" t="str">
        <f>CONFIGURATOR!Z11</f>
        <v>I(CT)</v>
      </c>
      <c r="D36" s="104">
        <f t="shared" si="0"/>
        <v>30</v>
      </c>
      <c r="E36" s="108" t="s">
        <v>176</v>
      </c>
    </row>
    <row r="37" spans="2:5" ht="15.75" customHeight="1" thickBot="1">
      <c r="B37" s="19">
        <v>24</v>
      </c>
      <c r="C37" s="73" t="str">
        <f>CONFIGURATOR!AA11</f>
        <v>I(CT)</v>
      </c>
      <c r="D37" s="104">
        <f t="shared" si="0"/>
        <v>30</v>
      </c>
      <c r="E37" s="108" t="s">
        <v>176</v>
      </c>
    </row>
    <row r="38" spans="2:5" ht="15.75" customHeight="1" thickBot="1">
      <c r="B38" s="19">
        <v>25</v>
      </c>
      <c r="C38" s="73" t="str">
        <f>CONFIGURATOR!AB11</f>
        <v>I(CT)</v>
      </c>
      <c r="D38" s="104">
        <f t="shared" si="0"/>
        <v>30</v>
      </c>
      <c r="E38" s="108" t="s">
        <v>176</v>
      </c>
    </row>
    <row r="39" spans="2:5" ht="15.75" customHeight="1" thickBot="1">
      <c r="B39" s="19">
        <v>26</v>
      </c>
      <c r="C39" s="73" t="str">
        <f>CONFIGURATOR!AC11</f>
        <v>I(CT)</v>
      </c>
      <c r="D39" s="104">
        <f t="shared" si="0"/>
        <v>30</v>
      </c>
      <c r="E39" s="108" t="s">
        <v>176</v>
      </c>
    </row>
    <row r="40" spans="2:5" ht="15.75" customHeight="1" thickBot="1">
      <c r="B40" s="19">
        <v>27</v>
      </c>
      <c r="C40" s="73" t="str">
        <f>CONFIGURATOR!AD11</f>
        <v>I(CT)</v>
      </c>
      <c r="D40" s="104">
        <f t="shared" si="0"/>
        <v>30</v>
      </c>
      <c r="E40" s="108" t="s">
        <v>176</v>
      </c>
    </row>
    <row r="41" spans="2:5" ht="15.75" customHeight="1" thickBot="1">
      <c r="B41" s="19">
        <v>28</v>
      </c>
      <c r="C41" s="73" t="str">
        <f>CONFIGURATOR!AE11</f>
        <v>I(CT)</v>
      </c>
      <c r="D41" s="104">
        <f t="shared" si="0"/>
        <v>30</v>
      </c>
      <c r="E41" s="108" t="s">
        <v>176</v>
      </c>
    </row>
    <row r="42" spans="2:5" ht="15.75" customHeight="1" thickBot="1">
      <c r="B42" s="19">
        <v>29</v>
      </c>
      <c r="C42" s="73" t="str">
        <f>CONFIGURATOR!AF11</f>
        <v>I(CT)</v>
      </c>
      <c r="D42" s="104">
        <f t="shared" si="0"/>
        <v>30</v>
      </c>
      <c r="E42" s="108" t="s">
        <v>176</v>
      </c>
    </row>
    <row r="43" spans="2:5" ht="15.75" customHeight="1" thickBot="1">
      <c r="B43" s="19">
        <v>30</v>
      </c>
      <c r="C43" s="73" t="str">
        <f>CONFIGURATOR!AG11</f>
        <v>I(CT)</v>
      </c>
      <c r="D43" s="104">
        <f t="shared" si="0"/>
        <v>30</v>
      </c>
      <c r="E43" s="108" t="s">
        <v>176</v>
      </c>
    </row>
    <row r="44" spans="2:5" ht="15.75" customHeight="1" thickBot="1">
      <c r="B44" s="19">
        <v>31</v>
      </c>
      <c r="C44" s="73" t="str">
        <f>CONFIGURATOR!AH11</f>
        <v>I(CT)</v>
      </c>
      <c r="D44" s="104">
        <f t="shared" si="0"/>
        <v>30</v>
      </c>
      <c r="E44" s="108" t="s">
        <v>176</v>
      </c>
    </row>
    <row r="45" spans="2:5" ht="15.75" customHeight="1">
      <c r="B45"/>
    </row>
    <row r="46" spans="2:5">
      <c r="B46" s="24"/>
    </row>
    <row r="47" spans="2:5" ht="18.75">
      <c r="B47" s="5" t="s">
        <v>177</v>
      </c>
    </row>
    <row r="48" spans="2:5" ht="15.75">
      <c r="B48" s="20" t="s">
        <v>35</v>
      </c>
    </row>
    <row r="49" spans="2:6" ht="18.75" customHeight="1">
      <c r="B49" s="20" t="s">
        <v>34</v>
      </c>
    </row>
    <row r="50" spans="2:6" ht="18.75" customHeight="1" thickBot="1">
      <c r="B50" s="20" t="s">
        <v>38</v>
      </c>
    </row>
    <row r="51" spans="2:6" ht="15" customHeight="1" thickBot="1">
      <c r="B51" s="21" t="s">
        <v>33</v>
      </c>
      <c r="C51" s="133" t="s">
        <v>37</v>
      </c>
      <c r="D51" s="116"/>
      <c r="E51" s="116"/>
      <c r="F51" s="117"/>
    </row>
    <row r="52" spans="2:6" ht="78" customHeight="1" thickBot="1">
      <c r="B52" s="74" t="s">
        <v>31</v>
      </c>
      <c r="C52" s="134" t="s">
        <v>178</v>
      </c>
      <c r="D52" s="135"/>
      <c r="E52" s="135"/>
      <c r="F52" s="136"/>
    </row>
    <row r="53" spans="2:6" ht="34.5" customHeight="1" thickBot="1">
      <c r="B53" s="74" t="s">
        <v>32</v>
      </c>
      <c r="C53" s="137" t="s">
        <v>179</v>
      </c>
      <c r="D53" s="138"/>
      <c r="E53" s="138"/>
      <c r="F53" s="139"/>
    </row>
    <row r="55" spans="2:6" ht="18.75">
      <c r="B55" s="5" t="s">
        <v>458</v>
      </c>
    </row>
    <row r="56" spans="2:6" ht="15.75">
      <c r="B56" s="20" t="s">
        <v>36</v>
      </c>
    </row>
    <row r="57" spans="2:6">
      <c r="B57" s="75" t="s">
        <v>426</v>
      </c>
      <c r="C57" s="76"/>
      <c r="D57" s="76"/>
      <c r="E57" s="76"/>
    </row>
    <row r="58" spans="2:6">
      <c r="B58" s="26" t="s">
        <v>180</v>
      </c>
      <c r="C58" s="78"/>
      <c r="D58" s="78"/>
      <c r="E58" s="78"/>
    </row>
    <row r="59" spans="2:6">
      <c r="B59" s="26" t="s">
        <v>427</v>
      </c>
      <c r="C59" s="78"/>
      <c r="D59" s="78"/>
      <c r="E59" s="78"/>
    </row>
    <row r="60" spans="2:6">
      <c r="B60" s="26" t="s">
        <v>428</v>
      </c>
      <c r="C60" s="77"/>
      <c r="D60" s="77"/>
      <c r="E60" s="77"/>
    </row>
    <row r="61" spans="2:6">
      <c r="B61" s="26" t="s">
        <v>356</v>
      </c>
      <c r="C61" s="78"/>
      <c r="D61" s="78"/>
      <c r="E61" s="78"/>
    </row>
    <row r="62" spans="2:6">
      <c r="B62" s="26" t="s">
        <v>357</v>
      </c>
      <c r="C62" s="78"/>
      <c r="D62" s="78"/>
      <c r="E62" s="78"/>
    </row>
    <row r="63" spans="2:6">
      <c r="B63" s="26" t="s">
        <v>181</v>
      </c>
      <c r="C63" s="77"/>
      <c r="D63" s="77"/>
      <c r="E63" s="77"/>
    </row>
    <row r="64" spans="2:6">
      <c r="B64" s="26" t="s">
        <v>182</v>
      </c>
      <c r="C64" s="78"/>
      <c r="D64" s="78"/>
      <c r="E64" s="78"/>
    </row>
    <row r="65" spans="2:6">
      <c r="B65" s="26" t="s">
        <v>183</v>
      </c>
      <c r="C65" s="78"/>
      <c r="D65" s="78"/>
      <c r="E65" s="78"/>
    </row>
    <row r="66" spans="2:6">
      <c r="B66" s="26" t="s">
        <v>184</v>
      </c>
      <c r="C66" s="77"/>
      <c r="D66" s="77"/>
      <c r="E66" s="77"/>
    </row>
    <row r="67" spans="2:6">
      <c r="B67" s="75" t="s">
        <v>5</v>
      </c>
      <c r="C67" s="76"/>
      <c r="D67" s="76"/>
      <c r="E67" s="76"/>
    </row>
    <row r="68" spans="2:6">
      <c r="B68" s="26" t="s">
        <v>57</v>
      </c>
      <c r="C68" s="77"/>
      <c r="D68" s="77"/>
      <c r="E68" s="77"/>
    </row>
    <row r="69" spans="2:6">
      <c r="B69" s="26" t="s">
        <v>429</v>
      </c>
      <c r="C69" s="78"/>
      <c r="D69" s="78"/>
      <c r="E69" s="78"/>
    </row>
    <row r="70" spans="2:6">
      <c r="B70" s="26" t="s">
        <v>358</v>
      </c>
      <c r="C70" s="78"/>
      <c r="D70" s="78"/>
      <c r="E70" s="78"/>
    </row>
    <row r="71" spans="2:6">
      <c r="B71" s="26" t="s">
        <v>359</v>
      </c>
      <c r="C71" s="78"/>
      <c r="D71" s="78"/>
      <c r="E71" s="78"/>
    </row>
    <row r="72" spans="2:6">
      <c r="B72" s="26" t="s">
        <v>360</v>
      </c>
      <c r="C72" s="78"/>
      <c r="D72" s="78"/>
      <c r="E72" s="78"/>
    </row>
    <row r="73" spans="2:6">
      <c r="B73" s="26" t="s">
        <v>185</v>
      </c>
      <c r="C73" s="78"/>
      <c r="D73" s="78"/>
      <c r="E73" s="78"/>
    </row>
    <row r="74" spans="2:6">
      <c r="B74" s="26" t="s">
        <v>186</v>
      </c>
      <c r="C74" s="78"/>
      <c r="D74" s="78"/>
      <c r="E74" s="78"/>
    </row>
    <row r="75" spans="2:6">
      <c r="B75" s="26" t="s">
        <v>187</v>
      </c>
      <c r="C75" s="78"/>
      <c r="D75" s="78"/>
      <c r="E75" s="78"/>
    </row>
    <row r="76" spans="2:6">
      <c r="B76" s="26" t="s">
        <v>188</v>
      </c>
      <c r="C76" s="78"/>
      <c r="D76" s="78"/>
      <c r="E76" s="78"/>
    </row>
    <row r="77" spans="2:6">
      <c r="B77" s="76" t="s">
        <v>6</v>
      </c>
      <c r="C77" s="76"/>
      <c r="D77" s="76"/>
      <c r="E77" s="76"/>
      <c r="F77" s="95"/>
    </row>
    <row r="78" spans="2:6">
      <c r="B78" s="26" t="s">
        <v>189</v>
      </c>
      <c r="C78" s="27"/>
      <c r="D78" s="27"/>
      <c r="E78" s="27"/>
      <c r="F78" s="95"/>
    </row>
    <row r="79" spans="2:6">
      <c r="B79" s="26" t="s">
        <v>361</v>
      </c>
      <c r="C79" s="27"/>
      <c r="D79" s="27"/>
      <c r="E79" s="27"/>
      <c r="F79" s="95"/>
    </row>
    <row r="80" spans="2:6">
      <c r="B80" s="26" t="s">
        <v>190</v>
      </c>
      <c r="C80" s="27"/>
      <c r="D80" s="27"/>
      <c r="E80" s="27"/>
      <c r="F80" s="95"/>
    </row>
    <row r="81" spans="2:6">
      <c r="B81" s="26" t="s">
        <v>362</v>
      </c>
      <c r="C81" s="27"/>
      <c r="D81" s="27"/>
      <c r="E81" s="27"/>
      <c r="F81" s="95"/>
    </row>
    <row r="82" spans="2:6">
      <c r="B82" s="26" t="s">
        <v>191</v>
      </c>
      <c r="C82" s="27"/>
      <c r="D82" s="27"/>
      <c r="E82" s="27"/>
      <c r="F82" s="95"/>
    </row>
    <row r="83" spans="2:6">
      <c r="B83" s="26" t="s">
        <v>14</v>
      </c>
      <c r="C83" s="27"/>
      <c r="D83" s="27"/>
      <c r="E83" s="27"/>
      <c r="F83" s="95"/>
    </row>
    <row r="84" spans="2:6">
      <c r="B84" s="26" t="s">
        <v>192</v>
      </c>
      <c r="C84" s="27"/>
      <c r="D84" s="27"/>
      <c r="E84" s="27"/>
      <c r="F84" s="95"/>
    </row>
    <row r="85" spans="2:6">
      <c r="B85" s="26" t="s">
        <v>14</v>
      </c>
      <c r="C85" s="27"/>
      <c r="D85" s="27"/>
      <c r="E85" s="27"/>
      <c r="F85" s="95"/>
    </row>
    <row r="86" spans="2:6">
      <c r="B86" s="26" t="s">
        <v>193</v>
      </c>
      <c r="C86" s="27"/>
      <c r="D86" s="27"/>
      <c r="E86" s="27"/>
      <c r="F86" s="95"/>
    </row>
    <row r="87" spans="2:6">
      <c r="B87" s="26" t="s">
        <v>14</v>
      </c>
      <c r="C87" s="27"/>
      <c r="D87" s="27"/>
      <c r="E87" s="27"/>
      <c r="F87" s="95"/>
    </row>
    <row r="88" spans="2:6">
      <c r="B88" s="26" t="s">
        <v>194</v>
      </c>
      <c r="C88" s="27"/>
      <c r="D88" s="27"/>
      <c r="E88" s="27"/>
      <c r="F88" s="95"/>
    </row>
    <row r="89" spans="2:6">
      <c r="B89" s="26" t="s">
        <v>363</v>
      </c>
      <c r="C89" s="27"/>
      <c r="D89" s="27"/>
      <c r="E89" s="27"/>
      <c r="F89" s="95"/>
    </row>
    <row r="90" spans="2:6">
      <c r="B90" s="26" t="s">
        <v>195</v>
      </c>
      <c r="C90" s="27"/>
      <c r="D90" s="27"/>
      <c r="E90" s="27"/>
      <c r="F90" s="95"/>
    </row>
    <row r="91" spans="2:6">
      <c r="B91" s="26" t="s">
        <v>364</v>
      </c>
      <c r="C91" s="27"/>
      <c r="D91" s="27"/>
      <c r="E91" s="27"/>
      <c r="F91" s="95"/>
    </row>
    <row r="92" spans="2:6">
      <c r="B92" s="26" t="s">
        <v>196</v>
      </c>
      <c r="C92" s="27"/>
      <c r="D92" s="27"/>
      <c r="E92" s="27"/>
      <c r="F92" s="95"/>
    </row>
    <row r="93" spans="2:6">
      <c r="B93" s="26" t="s">
        <v>365</v>
      </c>
      <c r="C93" s="27"/>
      <c r="D93" s="27"/>
      <c r="E93" s="27"/>
      <c r="F93" s="95"/>
    </row>
    <row r="94" spans="2:6">
      <c r="B94" s="26" t="s">
        <v>197</v>
      </c>
      <c r="C94" s="27"/>
      <c r="D94" s="27"/>
      <c r="E94" s="27"/>
      <c r="F94" s="95"/>
    </row>
    <row r="95" spans="2:6">
      <c r="B95" s="26" t="s">
        <v>366</v>
      </c>
      <c r="C95" s="27"/>
      <c r="D95" s="27"/>
      <c r="E95" s="27"/>
      <c r="F95" s="95"/>
    </row>
    <row r="96" spans="2:6">
      <c r="B96" s="26" t="s">
        <v>198</v>
      </c>
      <c r="C96" s="27"/>
      <c r="D96" s="27"/>
      <c r="E96" s="27"/>
      <c r="F96" s="95"/>
    </row>
    <row r="97" spans="2:6">
      <c r="B97" s="26" t="s">
        <v>415</v>
      </c>
      <c r="C97" s="27"/>
      <c r="D97" s="27"/>
      <c r="E97" s="27"/>
      <c r="F97" s="95"/>
    </row>
    <row r="98" spans="2:6">
      <c r="B98" s="26" t="s">
        <v>199</v>
      </c>
      <c r="C98" s="27"/>
      <c r="D98" s="27"/>
      <c r="E98" s="27"/>
      <c r="F98" s="95"/>
    </row>
    <row r="99" spans="2:6">
      <c r="B99" s="26" t="s">
        <v>416</v>
      </c>
      <c r="C99" s="27"/>
      <c r="D99" s="27"/>
      <c r="E99" s="27"/>
      <c r="F99" s="95"/>
    </row>
    <row r="100" spans="2:6">
      <c r="B100" s="26" t="s">
        <v>200</v>
      </c>
      <c r="C100" s="27"/>
      <c r="D100" s="27"/>
      <c r="E100" s="27"/>
      <c r="F100" s="95"/>
    </row>
    <row r="101" spans="2:6">
      <c r="B101" s="26" t="s">
        <v>367</v>
      </c>
      <c r="C101" s="27"/>
      <c r="D101" s="27"/>
      <c r="E101" s="27"/>
      <c r="F101" s="95"/>
    </row>
    <row r="102" spans="2:6">
      <c r="B102" s="26" t="s">
        <v>201</v>
      </c>
      <c r="C102" s="27"/>
      <c r="D102" s="27"/>
      <c r="E102" s="27"/>
      <c r="F102" s="95"/>
    </row>
    <row r="103" spans="2:6">
      <c r="B103" s="26" t="s">
        <v>367</v>
      </c>
      <c r="C103" s="27"/>
      <c r="D103" s="27"/>
      <c r="E103" s="27"/>
      <c r="F103" s="95"/>
    </row>
    <row r="104" spans="2:6">
      <c r="B104" s="26" t="s">
        <v>202</v>
      </c>
      <c r="C104" s="27"/>
      <c r="D104" s="27"/>
      <c r="E104" s="27"/>
      <c r="F104" s="95"/>
    </row>
    <row r="105" spans="2:6">
      <c r="B105" s="26" t="s">
        <v>368</v>
      </c>
      <c r="C105" s="27"/>
      <c r="D105" s="27"/>
      <c r="E105" s="27"/>
      <c r="F105" s="95"/>
    </row>
    <row r="106" spans="2:6">
      <c r="B106" s="26" t="s">
        <v>203</v>
      </c>
      <c r="C106" s="27"/>
      <c r="D106" s="27"/>
      <c r="E106" s="27"/>
      <c r="F106" s="95"/>
    </row>
    <row r="107" spans="2:6">
      <c r="B107" s="26" t="s">
        <v>14</v>
      </c>
      <c r="C107" s="27"/>
      <c r="D107" s="27"/>
      <c r="E107" s="27"/>
      <c r="F107" s="95"/>
    </row>
    <row r="108" spans="2:6">
      <c r="B108" s="26" t="s">
        <v>204</v>
      </c>
      <c r="C108" s="27"/>
      <c r="D108" s="27"/>
      <c r="E108" s="27"/>
      <c r="F108" s="95"/>
    </row>
    <row r="109" spans="2:6">
      <c r="B109" s="26" t="s">
        <v>14</v>
      </c>
      <c r="C109" s="27"/>
      <c r="D109" s="27"/>
      <c r="E109" s="27"/>
      <c r="F109" s="95"/>
    </row>
    <row r="110" spans="2:6">
      <c r="B110" s="26" t="s">
        <v>205</v>
      </c>
      <c r="C110" s="27"/>
      <c r="D110" s="27"/>
      <c r="E110" s="27"/>
      <c r="F110" s="95"/>
    </row>
    <row r="111" spans="2:6">
      <c r="B111" s="26" t="s">
        <v>14</v>
      </c>
      <c r="C111" s="27"/>
      <c r="D111" s="27"/>
      <c r="E111" s="27"/>
      <c r="F111" s="95"/>
    </row>
    <row r="112" spans="2:6">
      <c r="B112" s="26" t="s">
        <v>206</v>
      </c>
      <c r="C112" s="27"/>
      <c r="D112" s="27"/>
      <c r="E112" s="27"/>
      <c r="F112" s="95"/>
    </row>
    <row r="113" spans="2:6">
      <c r="B113" s="26" t="s">
        <v>14</v>
      </c>
      <c r="C113" s="27"/>
      <c r="D113" s="27"/>
      <c r="E113" s="27"/>
      <c r="F113" s="95"/>
    </row>
    <row r="114" spans="2:6">
      <c r="B114" s="26" t="s">
        <v>207</v>
      </c>
      <c r="C114" s="27"/>
      <c r="D114" s="27"/>
      <c r="E114" s="27"/>
      <c r="F114" s="95"/>
    </row>
    <row r="115" spans="2:6">
      <c r="B115" s="26" t="s">
        <v>369</v>
      </c>
      <c r="C115" s="27"/>
      <c r="D115" s="27"/>
      <c r="E115" s="27"/>
      <c r="F115" s="95"/>
    </row>
    <row r="116" spans="2:6">
      <c r="B116" s="26" t="s">
        <v>208</v>
      </c>
      <c r="C116" s="27"/>
      <c r="D116" s="27"/>
      <c r="E116" s="27"/>
      <c r="F116" s="95"/>
    </row>
    <row r="117" spans="2:6">
      <c r="B117" s="26" t="s">
        <v>370</v>
      </c>
      <c r="C117" s="27"/>
      <c r="D117" s="27"/>
      <c r="E117" s="27"/>
      <c r="F117" s="95"/>
    </row>
    <row r="118" spans="2:6">
      <c r="B118" s="26" t="s">
        <v>209</v>
      </c>
      <c r="C118" s="27"/>
      <c r="D118" s="27"/>
      <c r="E118" s="27"/>
      <c r="F118" s="95"/>
    </row>
    <row r="119" spans="2:6">
      <c r="B119" s="26" t="s">
        <v>370</v>
      </c>
      <c r="C119" s="27"/>
      <c r="D119" s="27"/>
      <c r="E119" s="27"/>
      <c r="F119" s="95"/>
    </row>
    <row r="120" spans="2:6">
      <c r="B120" s="26" t="s">
        <v>210</v>
      </c>
      <c r="C120" s="27"/>
      <c r="D120" s="27"/>
      <c r="E120" s="27"/>
      <c r="F120" s="95"/>
    </row>
    <row r="121" spans="2:6">
      <c r="B121" s="26" t="s">
        <v>371</v>
      </c>
      <c r="C121" s="27"/>
      <c r="D121" s="27"/>
      <c r="E121" s="27"/>
      <c r="F121" s="95"/>
    </row>
    <row r="122" spans="2:6">
      <c r="B122" s="26" t="s">
        <v>211</v>
      </c>
      <c r="C122" s="27"/>
      <c r="D122" s="27"/>
      <c r="E122" s="27"/>
      <c r="F122" s="95"/>
    </row>
    <row r="123" spans="2:6">
      <c r="B123" s="26" t="s">
        <v>14</v>
      </c>
      <c r="C123" s="27"/>
      <c r="D123" s="27"/>
      <c r="E123" s="27"/>
      <c r="F123" s="95"/>
    </row>
    <row r="124" spans="2:6">
      <c r="B124" s="26" t="s">
        <v>212</v>
      </c>
      <c r="C124" s="27"/>
      <c r="D124" s="27"/>
      <c r="E124" s="27"/>
      <c r="F124" s="95"/>
    </row>
    <row r="125" spans="2:6">
      <c r="B125" s="26" t="s">
        <v>14</v>
      </c>
      <c r="C125" s="27"/>
      <c r="D125" s="27"/>
      <c r="E125" s="27"/>
      <c r="F125" s="95"/>
    </row>
    <row r="126" spans="2:6">
      <c r="B126" s="26" t="s">
        <v>213</v>
      </c>
      <c r="C126" s="27"/>
      <c r="D126" s="27"/>
      <c r="E126" s="27"/>
      <c r="F126" s="95"/>
    </row>
    <row r="127" spans="2:6">
      <c r="B127" s="26" t="s">
        <v>14</v>
      </c>
      <c r="C127" s="27"/>
      <c r="D127" s="27"/>
      <c r="E127" s="27"/>
      <c r="F127" s="95"/>
    </row>
    <row r="128" spans="2:6">
      <c r="B128" s="26" t="s">
        <v>214</v>
      </c>
      <c r="C128" s="27"/>
      <c r="D128" s="27"/>
      <c r="E128" s="27"/>
      <c r="F128" s="95"/>
    </row>
    <row r="129" spans="2:11">
      <c r="B129" s="26" t="s">
        <v>14</v>
      </c>
      <c r="C129" s="27"/>
      <c r="D129" s="27"/>
      <c r="E129" s="27"/>
      <c r="F129" s="95"/>
    </row>
    <row r="130" spans="2:11">
      <c r="B130" s="26" t="s">
        <v>215</v>
      </c>
      <c r="C130" s="27"/>
      <c r="D130" s="27"/>
      <c r="E130" s="27"/>
      <c r="F130" s="95"/>
    </row>
    <row r="131" spans="2:11">
      <c r="B131" s="26" t="s">
        <v>417</v>
      </c>
      <c r="C131" s="27"/>
      <c r="D131" s="27"/>
      <c r="E131" s="27"/>
      <c r="F131" s="95"/>
    </row>
    <row r="132" spans="2:11">
      <c r="B132" s="26" t="s">
        <v>216</v>
      </c>
      <c r="C132" s="27"/>
      <c r="D132" s="27"/>
      <c r="E132" s="27"/>
      <c r="F132" s="95"/>
    </row>
    <row r="133" spans="2:11">
      <c r="B133" s="26" t="s">
        <v>418</v>
      </c>
      <c r="C133" s="27"/>
      <c r="D133" s="27"/>
      <c r="E133" s="27"/>
      <c r="F133" s="95"/>
    </row>
    <row r="134" spans="2:11">
      <c r="B134" s="26" t="s">
        <v>218</v>
      </c>
      <c r="C134" s="27"/>
      <c r="D134" s="27"/>
      <c r="E134" s="27"/>
      <c r="F134" s="95"/>
    </row>
    <row r="135" spans="2:11">
      <c r="B135" s="26" t="s">
        <v>372</v>
      </c>
      <c r="C135" s="27"/>
      <c r="D135" s="27"/>
      <c r="E135" s="27"/>
      <c r="F135" s="95"/>
    </row>
    <row r="136" spans="2:11">
      <c r="B136" s="26" t="s">
        <v>219</v>
      </c>
      <c r="C136" s="27"/>
      <c r="D136" s="27"/>
      <c r="E136" s="27"/>
      <c r="F136" s="95"/>
    </row>
    <row r="137" spans="2:11">
      <c r="B137" s="26" t="s">
        <v>220</v>
      </c>
      <c r="C137" s="27"/>
      <c r="D137" s="27"/>
      <c r="E137" s="27"/>
      <c r="F137" s="95"/>
    </row>
    <row r="138" spans="2:11">
      <c r="B138" s="26" t="s">
        <v>221</v>
      </c>
      <c r="C138" s="27"/>
      <c r="D138" s="27"/>
      <c r="E138" s="27"/>
      <c r="F138" s="95"/>
    </row>
    <row r="139" spans="2:11">
      <c r="B139" s="26" t="s">
        <v>217</v>
      </c>
      <c r="C139" s="27"/>
      <c r="D139" s="27"/>
      <c r="E139" s="27"/>
      <c r="F139" s="95"/>
    </row>
    <row r="140" spans="2:11">
      <c r="B140" s="26" t="s">
        <v>222</v>
      </c>
      <c r="C140" s="27"/>
      <c r="D140" s="27"/>
      <c r="E140" s="27"/>
      <c r="F140" s="95"/>
    </row>
    <row r="141" spans="2:11">
      <c r="B141" s="26" t="s">
        <v>217</v>
      </c>
      <c r="C141" s="27"/>
      <c r="D141" s="27"/>
      <c r="E141" s="27"/>
      <c r="F141" s="95"/>
    </row>
    <row r="142" spans="2:11">
      <c r="B142" s="26" t="s">
        <v>223</v>
      </c>
      <c r="C142" s="27"/>
      <c r="D142" s="27"/>
      <c r="E142" s="27"/>
      <c r="F142" s="95"/>
    </row>
    <row r="143" spans="2:11">
      <c r="B143" s="26" t="s">
        <v>217</v>
      </c>
      <c r="C143" s="27"/>
      <c r="D143" s="27"/>
      <c r="E143" s="27"/>
      <c r="F143" s="95"/>
      <c r="K143" s="12"/>
    </row>
    <row r="144" spans="2:11">
      <c r="B144" s="26" t="s">
        <v>224</v>
      </c>
      <c r="C144" s="27"/>
      <c r="D144" s="27"/>
      <c r="E144" s="27"/>
      <c r="F144" s="95"/>
    </row>
    <row r="145" spans="2:6">
      <c r="B145" s="26" t="s">
        <v>217</v>
      </c>
      <c r="C145" s="27"/>
      <c r="D145" s="27"/>
      <c r="E145" s="27"/>
      <c r="F145" s="95"/>
    </row>
    <row r="146" spans="2:6">
      <c r="B146" s="26" t="s">
        <v>225</v>
      </c>
      <c r="C146" s="27"/>
      <c r="D146" s="27"/>
      <c r="E146" s="27"/>
      <c r="F146" s="95"/>
    </row>
    <row r="147" spans="2:6">
      <c r="B147" s="26" t="s">
        <v>226</v>
      </c>
      <c r="C147" s="27"/>
      <c r="D147" s="27"/>
      <c r="E147" s="27"/>
      <c r="F147" s="95"/>
    </row>
    <row r="148" spans="2:6">
      <c r="B148" s="26" t="s">
        <v>227</v>
      </c>
      <c r="C148" s="27"/>
      <c r="D148" s="27"/>
      <c r="E148" s="27"/>
      <c r="F148" s="95"/>
    </row>
    <row r="149" spans="2:6">
      <c r="B149" s="26" t="s">
        <v>39</v>
      </c>
      <c r="C149" s="27"/>
      <c r="D149" s="27"/>
      <c r="E149" s="27"/>
      <c r="F149" s="95"/>
    </row>
    <row r="150" spans="2:6">
      <c r="B150" s="26" t="s">
        <v>228</v>
      </c>
      <c r="C150" s="27"/>
      <c r="D150" s="27"/>
      <c r="E150" s="27"/>
      <c r="F150" s="95"/>
    </row>
    <row r="151" spans="2:6">
      <c r="B151" s="26" t="s">
        <v>39</v>
      </c>
      <c r="C151" s="27"/>
      <c r="D151" s="27"/>
      <c r="E151" s="27"/>
      <c r="F151" s="95"/>
    </row>
    <row r="152" spans="2:6">
      <c r="B152" s="26" t="s">
        <v>229</v>
      </c>
      <c r="C152" s="27"/>
      <c r="D152" s="27"/>
      <c r="E152" s="27"/>
      <c r="F152" s="95"/>
    </row>
    <row r="153" spans="2:6">
      <c r="B153" s="26" t="s">
        <v>39</v>
      </c>
      <c r="C153" s="27"/>
      <c r="D153" s="27"/>
      <c r="E153" s="27"/>
      <c r="F153" s="95"/>
    </row>
    <row r="154" spans="2:6">
      <c r="B154" s="26" t="s">
        <v>230</v>
      </c>
      <c r="C154" s="27"/>
      <c r="D154" s="27"/>
      <c r="E154" s="27"/>
      <c r="F154" s="95"/>
    </row>
    <row r="155" spans="2:6">
      <c r="B155" s="26" t="s">
        <v>39</v>
      </c>
      <c r="C155" s="27"/>
      <c r="D155" s="27"/>
      <c r="E155" s="27"/>
      <c r="F155" s="95"/>
    </row>
    <row r="156" spans="2:6">
      <c r="B156" s="26" t="s">
        <v>231</v>
      </c>
      <c r="C156" s="27"/>
      <c r="D156" s="27"/>
      <c r="E156" s="27"/>
      <c r="F156" s="95"/>
    </row>
    <row r="157" spans="2:6">
      <c r="B157" s="26" t="s">
        <v>39</v>
      </c>
      <c r="C157" s="27"/>
      <c r="D157" s="27"/>
      <c r="E157" s="27"/>
      <c r="F157" s="95"/>
    </row>
    <row r="158" spans="2:6">
      <c r="B158" s="26" t="s">
        <v>232</v>
      </c>
      <c r="C158" s="27"/>
      <c r="D158" s="27"/>
      <c r="E158" s="27"/>
      <c r="F158" s="95"/>
    </row>
    <row r="159" spans="2:6">
      <c r="B159" s="26" t="s">
        <v>39</v>
      </c>
      <c r="C159" s="27"/>
      <c r="D159" s="27"/>
      <c r="E159" s="27"/>
      <c r="F159" s="95"/>
    </row>
    <row r="160" spans="2:6">
      <c r="B160" s="26" t="s">
        <v>233</v>
      </c>
      <c r="C160" s="27"/>
      <c r="D160" s="27"/>
      <c r="E160" s="27"/>
      <c r="F160" s="95"/>
    </row>
    <row r="161" spans="2:6">
      <c r="B161" s="26" t="s">
        <v>39</v>
      </c>
      <c r="C161" s="27"/>
      <c r="D161" s="27"/>
      <c r="E161" s="27"/>
      <c r="F161" s="95"/>
    </row>
    <row r="162" spans="2:6">
      <c r="B162" s="26" t="s">
        <v>234</v>
      </c>
      <c r="C162" s="27"/>
      <c r="D162" s="27"/>
      <c r="E162" s="27"/>
      <c r="F162" s="95"/>
    </row>
    <row r="163" spans="2:6">
      <c r="B163" s="26" t="s">
        <v>40</v>
      </c>
      <c r="C163" s="27"/>
      <c r="D163" s="27"/>
      <c r="E163" s="27"/>
      <c r="F163" s="95"/>
    </row>
    <row r="164" spans="2:6">
      <c r="B164" s="26" t="s">
        <v>235</v>
      </c>
      <c r="C164" s="27"/>
      <c r="D164" s="27"/>
      <c r="E164" s="27"/>
      <c r="F164" s="95"/>
    </row>
    <row r="165" spans="2:6">
      <c r="B165" s="26" t="s">
        <v>14</v>
      </c>
      <c r="C165" s="27"/>
      <c r="D165" s="27"/>
      <c r="E165" s="27"/>
      <c r="F165" s="95"/>
    </row>
    <row r="166" spans="2:6">
      <c r="B166" s="26" t="s">
        <v>236</v>
      </c>
      <c r="C166" s="27"/>
      <c r="D166" s="27"/>
      <c r="E166" s="27"/>
      <c r="F166" s="95"/>
    </row>
    <row r="167" spans="2:6">
      <c r="B167" s="26" t="s">
        <v>14</v>
      </c>
      <c r="C167" s="27"/>
      <c r="D167" s="27"/>
      <c r="E167" s="27"/>
      <c r="F167" s="95"/>
    </row>
    <row r="168" spans="2:6">
      <c r="B168" s="26" t="s">
        <v>237</v>
      </c>
      <c r="C168" s="27"/>
      <c r="D168" s="27"/>
      <c r="E168" s="27"/>
      <c r="F168" s="95"/>
    </row>
    <row r="169" spans="2:6">
      <c r="B169" s="26" t="s">
        <v>14</v>
      </c>
      <c r="C169" s="27"/>
      <c r="D169" s="27"/>
      <c r="E169" s="27"/>
      <c r="F169" s="95"/>
    </row>
    <row r="170" spans="2:6">
      <c r="B170" s="26" t="s">
        <v>238</v>
      </c>
      <c r="C170" s="27"/>
      <c r="D170" s="27"/>
      <c r="E170" s="27"/>
      <c r="F170" s="95"/>
    </row>
    <row r="171" spans="2:6">
      <c r="B171" s="26" t="s">
        <v>14</v>
      </c>
      <c r="C171" s="27"/>
      <c r="D171" s="26"/>
      <c r="E171" s="26"/>
      <c r="F171" s="95"/>
    </row>
    <row r="172" spans="2:6">
      <c r="B172" s="26" t="s">
        <v>239</v>
      </c>
      <c r="C172" s="27"/>
      <c r="D172" s="27"/>
      <c r="E172" s="27"/>
      <c r="F172" s="95"/>
    </row>
    <row r="173" spans="2:6">
      <c r="B173" s="26" t="s">
        <v>14</v>
      </c>
      <c r="C173" s="27"/>
      <c r="D173" s="27"/>
      <c r="E173" s="27"/>
      <c r="F173" s="95"/>
    </row>
    <row r="174" spans="2:6">
      <c r="B174" s="26" t="s">
        <v>240</v>
      </c>
      <c r="C174" s="27"/>
      <c r="D174" s="27"/>
      <c r="E174" s="27"/>
      <c r="F174" s="95"/>
    </row>
    <row r="175" spans="2:6">
      <c r="B175" s="26" t="s">
        <v>14</v>
      </c>
      <c r="C175" s="27"/>
      <c r="D175" s="27"/>
      <c r="E175" s="27"/>
      <c r="F175" s="95"/>
    </row>
    <row r="176" spans="2:6">
      <c r="B176" s="26" t="s">
        <v>241</v>
      </c>
      <c r="C176" s="27"/>
      <c r="D176" s="27"/>
      <c r="E176" s="27"/>
      <c r="F176" s="95"/>
    </row>
    <row r="177" spans="2:6">
      <c r="B177" s="26" t="s">
        <v>14</v>
      </c>
      <c r="C177" s="27"/>
      <c r="D177" s="27"/>
      <c r="E177" s="27"/>
      <c r="F177" s="95"/>
    </row>
    <row r="178" spans="2:6">
      <c r="B178" s="26" t="s">
        <v>242</v>
      </c>
      <c r="C178" s="27"/>
      <c r="D178" s="27"/>
      <c r="E178" s="27"/>
      <c r="F178" s="95"/>
    </row>
    <row r="179" spans="2:6">
      <c r="B179" s="26" t="s">
        <v>398</v>
      </c>
      <c r="C179" s="27"/>
      <c r="D179" s="27"/>
      <c r="E179" s="27"/>
      <c r="F179" s="95"/>
    </row>
    <row r="180" spans="2:6">
      <c r="B180" s="26" t="s">
        <v>243</v>
      </c>
      <c r="C180" s="27"/>
      <c r="D180" s="27"/>
      <c r="E180" s="27"/>
      <c r="F180" s="95"/>
    </row>
    <row r="181" spans="2:6">
      <c r="B181" s="26" t="s">
        <v>373</v>
      </c>
      <c r="C181" s="27"/>
      <c r="D181" s="27"/>
      <c r="E181" s="27"/>
      <c r="F181" s="95"/>
    </row>
    <row r="182" spans="2:6">
      <c r="B182" s="26" t="s">
        <v>244</v>
      </c>
      <c r="C182" s="27"/>
      <c r="D182" s="27"/>
      <c r="E182" s="27"/>
      <c r="F182" s="95"/>
    </row>
    <row r="183" spans="2:6">
      <c r="B183" s="26" t="s">
        <v>14</v>
      </c>
      <c r="C183" s="27"/>
      <c r="D183" s="27"/>
      <c r="E183" s="27"/>
      <c r="F183" s="95"/>
    </row>
    <row r="184" spans="2:6">
      <c r="B184" s="26" t="s">
        <v>245</v>
      </c>
      <c r="C184" s="27"/>
      <c r="D184" s="27"/>
      <c r="E184" s="27"/>
      <c r="F184" s="95"/>
    </row>
    <row r="185" spans="2:6">
      <c r="B185" s="26" t="s">
        <v>374</v>
      </c>
      <c r="C185" s="27"/>
      <c r="D185" s="27"/>
      <c r="E185" s="27"/>
      <c r="F185" s="95"/>
    </row>
    <row r="186" spans="2:6">
      <c r="B186" s="26" t="s">
        <v>419</v>
      </c>
      <c r="C186" s="27"/>
      <c r="D186" s="27"/>
      <c r="E186" s="27"/>
      <c r="F186" s="95"/>
    </row>
    <row r="187" spans="2:6">
      <c r="B187" s="26" t="s">
        <v>375</v>
      </c>
      <c r="C187" s="27"/>
      <c r="D187" s="27"/>
      <c r="E187" s="27"/>
      <c r="F187" s="95"/>
    </row>
    <row r="188" spans="2:6">
      <c r="B188" s="26" t="s">
        <v>246</v>
      </c>
      <c r="C188" s="27"/>
      <c r="D188" s="27"/>
      <c r="E188" s="27"/>
      <c r="F188" s="95"/>
    </row>
    <row r="189" spans="2:6">
      <c r="B189" s="26" t="s">
        <v>14</v>
      </c>
      <c r="C189" s="27"/>
      <c r="D189" s="27"/>
      <c r="E189" s="27"/>
      <c r="F189" s="95"/>
    </row>
    <row r="190" spans="2:6">
      <c r="B190" s="26" t="s">
        <v>247</v>
      </c>
      <c r="C190" s="26"/>
      <c r="D190" s="26"/>
      <c r="E190" s="26"/>
      <c r="F190" s="95"/>
    </row>
    <row r="191" spans="2:6">
      <c r="B191" s="26" t="s">
        <v>14</v>
      </c>
      <c r="C191" s="27"/>
      <c r="D191" s="27"/>
      <c r="E191" s="27"/>
      <c r="F191" s="95"/>
    </row>
    <row r="192" spans="2:6">
      <c r="B192" s="26" t="s">
        <v>248</v>
      </c>
      <c r="C192" s="27"/>
      <c r="D192" s="27"/>
      <c r="E192" s="27"/>
      <c r="F192" s="95"/>
    </row>
    <row r="193" spans="2:6">
      <c r="B193" s="26" t="s">
        <v>14</v>
      </c>
      <c r="C193" s="27"/>
      <c r="D193" s="27"/>
      <c r="E193" s="27"/>
      <c r="F193" s="95"/>
    </row>
    <row r="194" spans="2:6">
      <c r="B194" s="26" t="s">
        <v>249</v>
      </c>
      <c r="C194" s="27"/>
      <c r="D194" s="27"/>
      <c r="E194" s="27"/>
      <c r="F194" s="95"/>
    </row>
    <row r="195" spans="2:6">
      <c r="B195" s="26" t="s">
        <v>14</v>
      </c>
      <c r="C195" s="27"/>
      <c r="D195" s="27"/>
      <c r="E195" s="27"/>
      <c r="F195" s="95"/>
    </row>
    <row r="196" spans="2:6">
      <c r="B196" s="26" t="s">
        <v>250</v>
      </c>
      <c r="C196" s="27"/>
      <c r="D196" s="27"/>
      <c r="E196" s="27"/>
      <c r="F196" s="95"/>
    </row>
    <row r="197" spans="2:6">
      <c r="B197" s="26" t="s">
        <v>14</v>
      </c>
      <c r="C197" s="27"/>
      <c r="D197" s="27"/>
      <c r="E197" s="27"/>
      <c r="F197" s="95"/>
    </row>
    <row r="198" spans="2:6">
      <c r="B198" s="26" t="s">
        <v>251</v>
      </c>
      <c r="C198" s="27"/>
      <c r="D198" s="27"/>
      <c r="E198" s="27"/>
      <c r="F198" s="95"/>
    </row>
    <row r="199" spans="2:6">
      <c r="B199" s="26" t="s">
        <v>14</v>
      </c>
      <c r="C199" s="27"/>
      <c r="D199" s="27"/>
      <c r="E199" s="27"/>
      <c r="F199" s="95"/>
    </row>
    <row r="200" spans="2:6">
      <c r="B200" s="26" t="s">
        <v>252</v>
      </c>
      <c r="C200" s="27"/>
      <c r="D200" s="27"/>
      <c r="E200" s="27"/>
      <c r="F200" s="95"/>
    </row>
    <row r="201" spans="2:6">
      <c r="B201" s="26" t="s">
        <v>14</v>
      </c>
      <c r="C201" s="27"/>
      <c r="D201" s="27"/>
      <c r="E201" s="27"/>
      <c r="F201" s="95"/>
    </row>
    <row r="202" spans="2:6">
      <c r="B202" s="26" t="s">
        <v>420</v>
      </c>
      <c r="C202" s="27"/>
      <c r="D202" s="27"/>
      <c r="E202" s="27"/>
      <c r="F202" s="95"/>
    </row>
    <row r="203" spans="2:6">
      <c r="B203" s="26" t="s">
        <v>14</v>
      </c>
      <c r="C203" s="27"/>
      <c r="D203" s="27"/>
      <c r="E203" s="27"/>
      <c r="F203" s="95"/>
    </row>
    <row r="204" spans="2:6">
      <c r="B204" s="26" t="s">
        <v>253</v>
      </c>
      <c r="C204" s="27"/>
      <c r="D204" s="27"/>
      <c r="E204" s="27"/>
      <c r="F204" s="95"/>
    </row>
    <row r="205" spans="2:6">
      <c r="B205" s="26" t="s">
        <v>14</v>
      </c>
      <c r="C205" s="27"/>
      <c r="D205" s="27"/>
      <c r="E205" s="27"/>
      <c r="F205" s="95"/>
    </row>
    <row r="206" spans="2:6">
      <c r="B206" s="26" t="s">
        <v>254</v>
      </c>
      <c r="C206" s="27"/>
      <c r="D206" s="27"/>
      <c r="E206" s="27"/>
      <c r="F206" s="95"/>
    </row>
    <row r="207" spans="2:6">
      <c r="B207" s="26" t="s">
        <v>14</v>
      </c>
      <c r="C207" s="27"/>
      <c r="D207" s="27"/>
      <c r="E207" s="27"/>
      <c r="F207" s="95"/>
    </row>
    <row r="208" spans="2:6">
      <c r="B208" s="26" t="s">
        <v>255</v>
      </c>
      <c r="C208" s="27"/>
      <c r="D208" s="27"/>
      <c r="E208" s="27"/>
      <c r="F208" s="95"/>
    </row>
    <row r="209" spans="2:6">
      <c r="B209" s="26" t="s">
        <v>14</v>
      </c>
      <c r="C209" s="27"/>
      <c r="D209" s="27"/>
      <c r="E209" s="27"/>
      <c r="F209" s="95"/>
    </row>
    <row r="210" spans="2:6">
      <c r="B210" s="26" t="s">
        <v>256</v>
      </c>
      <c r="C210" s="27"/>
      <c r="D210" s="27"/>
      <c r="E210" s="27"/>
      <c r="F210" s="95"/>
    </row>
    <row r="211" spans="2:6">
      <c r="B211" s="26" t="s">
        <v>14</v>
      </c>
      <c r="C211" s="27"/>
      <c r="D211" s="27"/>
      <c r="E211" s="27"/>
      <c r="F211" s="95"/>
    </row>
    <row r="212" spans="2:6">
      <c r="B212" s="26" t="s">
        <v>257</v>
      </c>
      <c r="C212" s="27"/>
      <c r="D212" s="27"/>
      <c r="E212" s="27"/>
      <c r="F212" s="95"/>
    </row>
    <row r="213" spans="2:6">
      <c r="B213" s="26" t="s">
        <v>14</v>
      </c>
      <c r="C213" s="27"/>
      <c r="D213" s="27"/>
      <c r="E213" s="27"/>
      <c r="F213" s="95"/>
    </row>
    <row r="214" spans="2:6">
      <c r="B214" s="26" t="s">
        <v>258</v>
      </c>
      <c r="C214" s="27"/>
      <c r="D214" s="27"/>
      <c r="E214" s="27"/>
      <c r="F214" s="95"/>
    </row>
    <row r="215" spans="2:6">
      <c r="B215" s="26" t="s">
        <v>14</v>
      </c>
      <c r="C215" s="27"/>
      <c r="D215" s="27"/>
      <c r="E215" s="27"/>
      <c r="F215" s="95"/>
    </row>
    <row r="216" spans="2:6">
      <c r="B216" s="26" t="s">
        <v>421</v>
      </c>
      <c r="C216" s="27"/>
      <c r="D216" s="27"/>
      <c r="E216" s="27"/>
      <c r="F216" s="95"/>
    </row>
    <row r="217" spans="2:6">
      <c r="B217" s="26" t="s">
        <v>14</v>
      </c>
      <c r="C217" s="27"/>
      <c r="D217" s="27"/>
      <c r="E217" s="27"/>
      <c r="F217" s="95"/>
    </row>
    <row r="218" spans="2:6">
      <c r="B218" s="26" t="s">
        <v>422</v>
      </c>
      <c r="C218" s="27"/>
      <c r="D218" s="27"/>
      <c r="E218" s="27"/>
      <c r="F218" s="95"/>
    </row>
    <row r="219" spans="2:6">
      <c r="B219" s="26" t="s">
        <v>259</v>
      </c>
      <c r="C219" s="27"/>
      <c r="D219" s="27"/>
      <c r="E219" s="27"/>
      <c r="F219" s="95"/>
    </row>
    <row r="220" spans="2:6">
      <c r="B220" s="26"/>
      <c r="C220" s="27"/>
      <c r="D220" s="27"/>
      <c r="E220" s="27"/>
      <c r="F220" s="95"/>
    </row>
    <row r="221" spans="2:6">
      <c r="B221" s="76" t="s">
        <v>16</v>
      </c>
      <c r="C221" s="76"/>
      <c r="D221" s="76"/>
      <c r="E221" s="76"/>
      <c r="F221" s="95"/>
    </row>
    <row r="222" spans="2:6">
      <c r="B222" s="26" t="s">
        <v>260</v>
      </c>
      <c r="C222" s="27"/>
      <c r="D222" s="27"/>
      <c r="E222" s="27"/>
      <c r="F222" s="95"/>
    </row>
    <row r="223" spans="2:6">
      <c r="B223" s="26" t="s">
        <v>376</v>
      </c>
      <c r="C223" s="27"/>
      <c r="D223" s="27"/>
      <c r="E223" s="27"/>
      <c r="F223" s="95"/>
    </row>
    <row r="224" spans="2:6">
      <c r="B224" s="26" t="s">
        <v>261</v>
      </c>
      <c r="C224" s="27"/>
      <c r="D224" s="27"/>
      <c r="E224" s="27"/>
      <c r="F224" s="95"/>
    </row>
    <row r="225" spans="2:6">
      <c r="B225" s="26" t="s">
        <v>423</v>
      </c>
      <c r="C225" s="27"/>
      <c r="D225" s="27"/>
      <c r="E225" s="27"/>
      <c r="F225" s="95"/>
    </row>
    <row r="226" spans="2:6">
      <c r="B226" s="26" t="s">
        <v>262</v>
      </c>
      <c r="C226" s="27"/>
      <c r="D226" s="27"/>
      <c r="E226" s="27"/>
      <c r="F226" s="95"/>
    </row>
    <row r="227" spans="2:6">
      <c r="B227" s="26" t="s">
        <v>430</v>
      </c>
      <c r="C227" s="27"/>
      <c r="D227" s="27"/>
      <c r="E227" s="27"/>
      <c r="F227" s="95"/>
    </row>
    <row r="228" spans="2:6">
      <c r="B228" s="26" t="s">
        <v>263</v>
      </c>
      <c r="C228" s="27"/>
      <c r="D228" s="27"/>
      <c r="E228" s="27"/>
      <c r="F228" s="95"/>
    </row>
    <row r="229" spans="2:6">
      <c r="B229" s="26" t="s">
        <v>424</v>
      </c>
      <c r="C229" s="27"/>
      <c r="D229" s="27"/>
      <c r="E229" s="27"/>
      <c r="F229" s="95"/>
    </row>
    <row r="230" spans="2:6">
      <c r="B230" s="26" t="s">
        <v>264</v>
      </c>
      <c r="C230" s="27"/>
      <c r="D230" s="27"/>
      <c r="E230" s="27"/>
      <c r="F230" s="95"/>
    </row>
    <row r="231" spans="2:6">
      <c r="B231" s="26" t="s">
        <v>431</v>
      </c>
      <c r="C231" s="27"/>
      <c r="D231" s="27"/>
      <c r="E231" s="27"/>
      <c r="F231" s="95"/>
    </row>
    <row r="232" spans="2:6">
      <c r="B232" s="26" t="s">
        <v>265</v>
      </c>
      <c r="C232" s="27"/>
      <c r="D232" s="27"/>
      <c r="E232" s="27"/>
      <c r="F232" s="95"/>
    </row>
    <row r="233" spans="2:6">
      <c r="B233" s="26" t="s">
        <v>14</v>
      </c>
      <c r="C233" s="27"/>
      <c r="D233" s="27"/>
      <c r="E233" s="27"/>
      <c r="F233" s="95"/>
    </row>
    <row r="234" spans="2:6">
      <c r="B234" s="26" t="s">
        <v>266</v>
      </c>
      <c r="C234" s="27"/>
      <c r="D234" s="27"/>
      <c r="E234" s="27"/>
      <c r="F234" s="95"/>
    </row>
    <row r="235" spans="2:6">
      <c r="B235" s="26" t="s">
        <v>14</v>
      </c>
      <c r="C235" s="27"/>
      <c r="D235" s="27"/>
      <c r="E235" s="27"/>
      <c r="F235" s="95"/>
    </row>
    <row r="236" spans="2:6">
      <c r="B236" s="26" t="s">
        <v>267</v>
      </c>
      <c r="C236" s="27"/>
      <c r="D236" s="27"/>
      <c r="E236" s="27"/>
      <c r="F236" s="95"/>
    </row>
    <row r="237" spans="2:6">
      <c r="B237" s="26" t="s">
        <v>14</v>
      </c>
      <c r="C237" s="27"/>
      <c r="D237" s="27"/>
      <c r="E237" s="27"/>
      <c r="F237" s="95"/>
    </row>
    <row r="238" spans="2:6">
      <c r="B238" s="26" t="s">
        <v>268</v>
      </c>
      <c r="C238" s="27"/>
      <c r="D238" s="27"/>
      <c r="E238" s="27"/>
      <c r="F238" s="95"/>
    </row>
    <row r="239" spans="2:6">
      <c r="B239" s="26" t="s">
        <v>14</v>
      </c>
      <c r="C239" s="27"/>
      <c r="D239" s="27"/>
      <c r="E239" s="27"/>
      <c r="F239" s="95"/>
    </row>
    <row r="240" spans="2:6">
      <c r="B240" s="26" t="s">
        <v>269</v>
      </c>
      <c r="C240" s="27"/>
      <c r="D240" s="27"/>
      <c r="E240" s="27"/>
      <c r="F240" s="95"/>
    </row>
    <row r="241" spans="2:6">
      <c r="B241" s="26" t="s">
        <v>14</v>
      </c>
      <c r="C241" s="27"/>
      <c r="D241" s="27"/>
      <c r="E241" s="27"/>
      <c r="F241" s="95"/>
    </row>
    <row r="242" spans="2:6">
      <c r="B242" s="26" t="s">
        <v>270</v>
      </c>
      <c r="C242" s="27"/>
      <c r="D242" s="27"/>
      <c r="E242" s="27"/>
      <c r="F242" s="95"/>
    </row>
    <row r="243" spans="2:6">
      <c r="B243" s="26" t="s">
        <v>14</v>
      </c>
      <c r="C243" s="27"/>
      <c r="D243" s="27"/>
      <c r="E243" s="27"/>
      <c r="F243" s="95"/>
    </row>
    <row r="244" spans="2:6">
      <c r="B244" s="26" t="s">
        <v>271</v>
      </c>
      <c r="C244" s="27"/>
      <c r="D244" s="27"/>
      <c r="E244" s="27"/>
      <c r="F244" s="95"/>
    </row>
    <row r="245" spans="2:6">
      <c r="B245" s="26" t="s">
        <v>432</v>
      </c>
      <c r="C245" s="27"/>
      <c r="D245" s="27"/>
      <c r="E245" s="27"/>
      <c r="F245" s="95"/>
    </row>
    <row r="246" spans="2:6">
      <c r="B246" s="26" t="s">
        <v>272</v>
      </c>
      <c r="C246" s="27"/>
      <c r="D246" s="27"/>
      <c r="E246" s="27"/>
      <c r="F246" s="95"/>
    </row>
    <row r="247" spans="2:6">
      <c r="B247" s="26" t="s">
        <v>433</v>
      </c>
      <c r="C247" s="27"/>
      <c r="D247" s="27"/>
      <c r="E247" s="27"/>
      <c r="F247" s="95"/>
    </row>
    <row r="248" spans="2:6">
      <c r="B248" s="26" t="s">
        <v>273</v>
      </c>
      <c r="C248" s="27"/>
      <c r="D248" s="27"/>
      <c r="E248" s="27"/>
      <c r="F248" s="95"/>
    </row>
    <row r="249" spans="2:6">
      <c r="B249" s="26" t="s">
        <v>425</v>
      </c>
      <c r="C249" s="27"/>
      <c r="D249" s="27"/>
      <c r="E249" s="27"/>
      <c r="F249" s="95"/>
    </row>
    <row r="250" spans="2:6">
      <c r="B250" s="26" t="s">
        <v>274</v>
      </c>
      <c r="C250" s="27"/>
      <c r="D250" s="27"/>
      <c r="E250" s="27"/>
      <c r="F250" s="95"/>
    </row>
    <row r="251" spans="2:6">
      <c r="B251" s="26" t="s">
        <v>14</v>
      </c>
      <c r="C251" s="27"/>
      <c r="D251" s="27"/>
      <c r="E251" s="27"/>
      <c r="F251" s="95"/>
    </row>
    <row r="252" spans="2:6">
      <c r="B252" s="26" t="s">
        <v>275</v>
      </c>
      <c r="C252" s="27"/>
      <c r="D252" s="27"/>
      <c r="E252" s="27"/>
      <c r="F252" s="95"/>
    </row>
    <row r="253" spans="2:6">
      <c r="B253" s="26" t="s">
        <v>14</v>
      </c>
      <c r="C253" s="27"/>
      <c r="D253" s="27"/>
      <c r="E253" s="27"/>
      <c r="F253" s="95"/>
    </row>
    <row r="254" spans="2:6">
      <c r="B254" s="26" t="s">
        <v>276</v>
      </c>
      <c r="C254" s="27"/>
      <c r="D254" s="27"/>
      <c r="E254" s="27"/>
      <c r="F254" s="95"/>
    </row>
    <row r="255" spans="2:6">
      <c r="B255" s="26" t="s">
        <v>14</v>
      </c>
      <c r="C255" s="27"/>
      <c r="D255" s="27"/>
      <c r="E255" s="27"/>
      <c r="F255" s="95"/>
    </row>
    <row r="256" spans="2:6">
      <c r="B256" s="26" t="s">
        <v>277</v>
      </c>
      <c r="C256" s="27"/>
      <c r="D256" s="27"/>
      <c r="E256" s="27"/>
      <c r="F256" s="95"/>
    </row>
    <row r="257" spans="2:6">
      <c r="B257" s="26" t="s">
        <v>14</v>
      </c>
      <c r="C257" s="27"/>
      <c r="D257" s="27"/>
      <c r="E257" s="27"/>
      <c r="F257" s="95"/>
    </row>
    <row r="258" spans="2:6">
      <c r="B258" s="26" t="s">
        <v>278</v>
      </c>
      <c r="C258" s="27"/>
      <c r="D258" s="27"/>
      <c r="E258" s="27"/>
      <c r="F258" s="95"/>
    </row>
    <row r="259" spans="2:6">
      <c r="B259" s="26" t="s">
        <v>14</v>
      </c>
      <c r="C259" s="27"/>
      <c r="D259" s="27"/>
      <c r="E259" s="27"/>
      <c r="F259" s="95"/>
    </row>
    <row r="260" spans="2:6">
      <c r="B260" s="26" t="s">
        <v>279</v>
      </c>
      <c r="C260" s="27"/>
      <c r="D260" s="27"/>
      <c r="E260" s="27"/>
      <c r="F260" s="95"/>
    </row>
    <row r="261" spans="2:6">
      <c r="B261" s="26" t="s">
        <v>280</v>
      </c>
      <c r="C261" s="27"/>
      <c r="D261" s="27"/>
      <c r="E261" s="27"/>
      <c r="F261" s="95"/>
    </row>
    <row r="262" spans="2:6">
      <c r="B262" s="26" t="s">
        <v>281</v>
      </c>
      <c r="C262" s="27"/>
      <c r="D262" s="27"/>
      <c r="E262" s="27"/>
      <c r="F262" s="95"/>
    </row>
    <row r="263" spans="2:6">
      <c r="B263" s="26" t="s">
        <v>434</v>
      </c>
      <c r="C263" s="27"/>
      <c r="D263" s="27"/>
      <c r="E263" s="27"/>
      <c r="F263" s="95"/>
    </row>
    <row r="264" spans="2:6">
      <c r="B264" s="26" t="s">
        <v>282</v>
      </c>
      <c r="C264" s="27"/>
      <c r="D264" s="27"/>
      <c r="E264" s="27"/>
      <c r="F264" s="95"/>
    </row>
    <row r="265" spans="2:6">
      <c r="B265" s="26" t="s">
        <v>435</v>
      </c>
      <c r="C265" s="27"/>
      <c r="D265" s="27"/>
      <c r="E265" s="27"/>
      <c r="F265" s="95"/>
    </row>
    <row r="266" spans="2:6">
      <c r="B266" s="26" t="s">
        <v>283</v>
      </c>
      <c r="C266" s="27"/>
      <c r="D266" s="27"/>
      <c r="E266" s="27"/>
      <c r="F266" s="95"/>
    </row>
    <row r="267" spans="2:6">
      <c r="B267" s="26" t="s">
        <v>436</v>
      </c>
      <c r="C267" s="27"/>
      <c r="D267" s="27"/>
      <c r="E267" s="27"/>
      <c r="F267" s="95"/>
    </row>
    <row r="268" spans="2:6">
      <c r="B268" s="26" t="s">
        <v>284</v>
      </c>
      <c r="C268" s="27"/>
      <c r="D268" s="27"/>
      <c r="E268" s="27"/>
      <c r="F268" s="95"/>
    </row>
    <row r="269" spans="2:6">
      <c r="B269" s="26" t="s">
        <v>437</v>
      </c>
      <c r="C269" s="27"/>
      <c r="D269" s="27"/>
      <c r="E269" s="27"/>
      <c r="F269" s="95"/>
    </row>
    <row r="270" spans="2:6">
      <c r="B270" s="26" t="s">
        <v>285</v>
      </c>
      <c r="C270" s="27"/>
      <c r="D270" s="27"/>
      <c r="E270" s="27"/>
      <c r="F270" s="95"/>
    </row>
    <row r="271" spans="2:6">
      <c r="B271" s="26" t="s">
        <v>14</v>
      </c>
      <c r="C271" s="27"/>
      <c r="D271" s="27"/>
      <c r="E271" s="27"/>
      <c r="F271" s="95"/>
    </row>
    <row r="272" spans="2:6">
      <c r="B272" s="26" t="s">
        <v>286</v>
      </c>
      <c r="C272" s="27"/>
      <c r="D272" s="27"/>
      <c r="E272" s="27"/>
      <c r="F272" s="95"/>
    </row>
    <row r="273" spans="2:6">
      <c r="B273" s="26" t="s">
        <v>14</v>
      </c>
      <c r="C273" s="27"/>
      <c r="D273" s="27"/>
      <c r="E273" s="27"/>
      <c r="F273" s="95"/>
    </row>
    <row r="274" spans="2:6">
      <c r="B274" s="26" t="s">
        <v>287</v>
      </c>
      <c r="C274" s="27"/>
      <c r="D274" s="27"/>
      <c r="E274" s="27"/>
      <c r="F274" s="95"/>
    </row>
    <row r="275" spans="2:6">
      <c r="B275" s="26" t="s">
        <v>14</v>
      </c>
      <c r="C275" s="27"/>
      <c r="D275" s="27"/>
      <c r="E275" s="27"/>
      <c r="F275" s="95"/>
    </row>
    <row r="276" spans="2:6">
      <c r="B276" s="26" t="s">
        <v>288</v>
      </c>
      <c r="C276" s="27"/>
      <c r="D276" s="27"/>
      <c r="E276" s="27"/>
      <c r="F276" s="95"/>
    </row>
    <row r="277" spans="2:6">
      <c r="B277" s="26" t="s">
        <v>14</v>
      </c>
      <c r="C277" s="27"/>
      <c r="D277" s="27"/>
      <c r="E277" s="27"/>
      <c r="F277" s="95"/>
    </row>
    <row r="278" spans="2:6">
      <c r="B278" s="26" t="s">
        <v>289</v>
      </c>
      <c r="C278" s="27"/>
      <c r="D278" s="27"/>
      <c r="E278" s="27"/>
      <c r="F278" s="95"/>
    </row>
    <row r="279" spans="2:6">
      <c r="B279" s="26" t="s">
        <v>14</v>
      </c>
      <c r="C279" s="27"/>
      <c r="D279" s="27"/>
      <c r="E279" s="27"/>
      <c r="F279" s="95"/>
    </row>
    <row r="280" spans="2:6">
      <c r="B280" s="26" t="s">
        <v>290</v>
      </c>
      <c r="C280" s="27"/>
      <c r="D280" s="27"/>
      <c r="E280" s="27"/>
      <c r="F280" s="95"/>
    </row>
    <row r="281" spans="2:6">
      <c r="B281" s="26" t="s">
        <v>14</v>
      </c>
      <c r="C281" s="27"/>
      <c r="D281" s="27"/>
      <c r="E281" s="27"/>
      <c r="F281" s="95"/>
    </row>
    <row r="282" spans="2:6">
      <c r="B282" s="26" t="s">
        <v>291</v>
      </c>
      <c r="C282" s="27"/>
      <c r="D282" s="27"/>
      <c r="E282" s="27"/>
      <c r="F282" s="95"/>
    </row>
    <row r="283" spans="2:6">
      <c r="B283" s="26" t="s">
        <v>259</v>
      </c>
      <c r="C283" s="27"/>
      <c r="D283" s="27"/>
      <c r="E283" s="27"/>
      <c r="F283" s="95"/>
    </row>
    <row r="284" spans="2:6">
      <c r="B284" s="26"/>
      <c r="C284" s="27"/>
      <c r="D284" s="27"/>
      <c r="E284" s="27"/>
      <c r="F284" s="95"/>
    </row>
    <row r="285" spans="2:6">
      <c r="B285" s="76" t="s">
        <v>18</v>
      </c>
      <c r="C285" s="76"/>
      <c r="D285" s="76"/>
      <c r="E285" s="76"/>
      <c r="F285" s="95"/>
    </row>
    <row r="286" spans="2:6">
      <c r="B286" s="26" t="s">
        <v>292</v>
      </c>
      <c r="C286" s="27"/>
      <c r="D286" s="27"/>
      <c r="E286" s="27"/>
      <c r="F286" s="95"/>
    </row>
    <row r="287" spans="2:6">
      <c r="B287" s="26" t="s">
        <v>438</v>
      </c>
      <c r="C287" s="27"/>
      <c r="D287" s="27"/>
      <c r="E287" s="27"/>
      <c r="F287" s="95"/>
    </row>
    <row r="288" spans="2:6">
      <c r="B288" s="26" t="s">
        <v>293</v>
      </c>
      <c r="C288" s="27"/>
      <c r="D288" s="27"/>
      <c r="E288" s="27"/>
      <c r="F288" s="95"/>
    </row>
    <row r="289" spans="2:6">
      <c r="B289" s="26" t="s">
        <v>439</v>
      </c>
      <c r="C289" s="27"/>
      <c r="D289" s="27"/>
      <c r="E289" s="27"/>
      <c r="F289" s="95"/>
    </row>
    <row r="290" spans="2:6">
      <c r="B290" s="26" t="s">
        <v>294</v>
      </c>
      <c r="C290" s="27"/>
      <c r="D290" s="27"/>
      <c r="E290" s="27"/>
      <c r="F290" s="95"/>
    </row>
    <row r="291" spans="2:6">
      <c r="B291" s="26" t="s">
        <v>14</v>
      </c>
      <c r="C291" s="27"/>
      <c r="D291" s="27"/>
      <c r="E291" s="27"/>
      <c r="F291" s="95"/>
    </row>
    <row r="292" spans="2:6">
      <c r="B292" s="26" t="s">
        <v>295</v>
      </c>
      <c r="C292" s="27"/>
      <c r="D292" s="27"/>
      <c r="E292" s="27"/>
      <c r="F292" s="95"/>
    </row>
    <row r="293" spans="2:6">
      <c r="B293" s="26" t="s">
        <v>14</v>
      </c>
      <c r="C293" s="27"/>
      <c r="D293" s="27"/>
      <c r="E293" s="27"/>
      <c r="F293" s="95"/>
    </row>
    <row r="294" spans="2:6">
      <c r="B294" s="26" t="s">
        <v>296</v>
      </c>
      <c r="C294" s="27"/>
      <c r="D294" s="27"/>
      <c r="E294" s="27"/>
      <c r="F294" s="95"/>
    </row>
    <row r="295" spans="2:6">
      <c r="B295" s="26" t="s">
        <v>14</v>
      </c>
      <c r="C295" s="27"/>
      <c r="D295" s="27"/>
      <c r="E295" s="27"/>
      <c r="F295" s="95"/>
    </row>
    <row r="296" spans="2:6">
      <c r="B296" s="26" t="s">
        <v>297</v>
      </c>
      <c r="C296" s="27"/>
      <c r="D296" s="27"/>
      <c r="E296" s="27"/>
      <c r="F296" s="95"/>
    </row>
    <row r="297" spans="2:6">
      <c r="B297" s="26" t="s">
        <v>14</v>
      </c>
      <c r="C297" s="27"/>
      <c r="D297" s="27"/>
      <c r="E297" s="27"/>
      <c r="F297" s="95"/>
    </row>
    <row r="298" spans="2:6">
      <c r="B298" s="26" t="s">
        <v>298</v>
      </c>
      <c r="C298" s="27"/>
      <c r="D298" s="27"/>
      <c r="E298" s="27"/>
      <c r="F298" s="95"/>
    </row>
    <row r="299" spans="2:6">
      <c r="B299" s="26" t="s">
        <v>14</v>
      </c>
      <c r="C299" s="27"/>
      <c r="D299" s="27"/>
      <c r="E299" s="27"/>
      <c r="F299" s="95"/>
    </row>
    <row r="300" spans="2:6">
      <c r="B300" s="26" t="s">
        <v>299</v>
      </c>
      <c r="C300" s="27"/>
      <c r="D300" s="27"/>
      <c r="E300" s="27"/>
      <c r="F300" s="95"/>
    </row>
    <row r="301" spans="2:6">
      <c r="B301" s="26" t="s">
        <v>14</v>
      </c>
      <c r="C301" s="27"/>
      <c r="D301" s="27"/>
      <c r="E301" s="27"/>
      <c r="F301" s="95"/>
    </row>
    <row r="302" spans="2:6">
      <c r="B302" s="26" t="s">
        <v>300</v>
      </c>
      <c r="C302" s="27"/>
      <c r="D302" s="27"/>
      <c r="E302" s="27"/>
      <c r="F302" s="95"/>
    </row>
    <row r="303" spans="2:6">
      <c r="B303" s="26" t="s">
        <v>440</v>
      </c>
      <c r="C303" s="27"/>
      <c r="D303" s="27"/>
      <c r="E303" s="27"/>
      <c r="F303" s="95"/>
    </row>
    <row r="304" spans="2:6">
      <c r="B304" s="26" t="s">
        <v>301</v>
      </c>
      <c r="C304" s="27"/>
      <c r="D304" s="27"/>
      <c r="E304" s="27"/>
      <c r="F304" s="95"/>
    </row>
    <row r="305" spans="2:6">
      <c r="B305" s="26" t="s">
        <v>441</v>
      </c>
      <c r="C305" s="27"/>
      <c r="D305" s="27"/>
      <c r="E305" s="27"/>
      <c r="F305" s="95"/>
    </row>
    <row r="306" spans="2:6">
      <c r="B306" s="26" t="s">
        <v>302</v>
      </c>
      <c r="C306" s="27"/>
      <c r="D306" s="27"/>
      <c r="E306" s="27"/>
      <c r="F306" s="95"/>
    </row>
    <row r="307" spans="2:6">
      <c r="B307" s="26" t="s">
        <v>14</v>
      </c>
      <c r="C307" s="27"/>
      <c r="D307" s="27"/>
      <c r="E307" s="27"/>
      <c r="F307" s="95"/>
    </row>
    <row r="308" spans="2:6">
      <c r="B308" s="26" t="s">
        <v>303</v>
      </c>
      <c r="C308" s="27"/>
      <c r="D308" s="27"/>
      <c r="E308" s="27"/>
      <c r="F308" s="95"/>
    </row>
    <row r="309" spans="2:6">
      <c r="B309" s="26" t="s">
        <v>14</v>
      </c>
      <c r="C309" s="27"/>
      <c r="D309" s="27"/>
      <c r="E309" s="27"/>
      <c r="F309" s="95"/>
    </row>
    <row r="310" spans="2:6">
      <c r="B310" s="26" t="s">
        <v>304</v>
      </c>
      <c r="C310" s="27"/>
      <c r="D310" s="27"/>
      <c r="E310" s="27"/>
      <c r="F310" s="95"/>
    </row>
    <row r="311" spans="2:6">
      <c r="B311" s="26" t="s">
        <v>14</v>
      </c>
      <c r="C311" s="27"/>
      <c r="D311" s="27"/>
      <c r="E311" s="27"/>
      <c r="F311" s="95"/>
    </row>
    <row r="312" spans="2:6">
      <c r="B312" s="26" t="s">
        <v>305</v>
      </c>
      <c r="C312" s="27"/>
      <c r="D312" s="27"/>
      <c r="E312" s="27"/>
      <c r="F312" s="95"/>
    </row>
    <row r="313" spans="2:6">
      <c r="B313" s="26" t="s">
        <v>14</v>
      </c>
      <c r="C313" s="27"/>
      <c r="D313" s="27"/>
      <c r="E313" s="27"/>
      <c r="F313" s="95"/>
    </row>
    <row r="314" spans="2:6">
      <c r="B314" s="26" t="s">
        <v>306</v>
      </c>
      <c r="C314" s="27"/>
      <c r="D314" s="27"/>
      <c r="E314" s="27"/>
      <c r="F314" s="95"/>
    </row>
    <row r="315" spans="2:6">
      <c r="B315" s="26" t="s">
        <v>14</v>
      </c>
      <c r="C315" s="27"/>
      <c r="D315" s="27"/>
      <c r="E315" s="27"/>
      <c r="F315" s="95"/>
    </row>
    <row r="316" spans="2:6">
      <c r="B316" s="26" t="s">
        <v>307</v>
      </c>
      <c r="C316" s="27"/>
      <c r="D316" s="27"/>
      <c r="E316" s="27"/>
      <c r="F316" s="95"/>
    </row>
    <row r="317" spans="2:6">
      <c r="B317" s="26" t="s">
        <v>14</v>
      </c>
      <c r="C317" s="27"/>
      <c r="D317" s="27"/>
      <c r="E317" s="27"/>
      <c r="F317" s="95"/>
    </row>
    <row r="318" spans="2:6">
      <c r="B318" s="26" t="s">
        <v>308</v>
      </c>
      <c r="C318" s="27"/>
      <c r="D318" s="27"/>
      <c r="E318" s="27"/>
      <c r="F318" s="95"/>
    </row>
    <row r="319" spans="2:6">
      <c r="B319" s="26" t="s">
        <v>442</v>
      </c>
      <c r="C319" s="27"/>
      <c r="D319" s="27"/>
      <c r="E319" s="27"/>
      <c r="F319" s="95"/>
    </row>
    <row r="320" spans="2:6">
      <c r="B320" s="26" t="s">
        <v>309</v>
      </c>
      <c r="C320" s="27"/>
      <c r="D320" s="27"/>
      <c r="E320" s="27"/>
      <c r="F320" s="95"/>
    </row>
    <row r="321" spans="2:6">
      <c r="B321" s="26" t="s">
        <v>14</v>
      </c>
      <c r="C321" s="27"/>
      <c r="D321" s="27"/>
      <c r="E321" s="27"/>
      <c r="F321" s="95"/>
    </row>
    <row r="322" spans="2:6">
      <c r="B322" s="26" t="s">
        <v>310</v>
      </c>
      <c r="C322" s="27"/>
      <c r="D322" s="27"/>
      <c r="E322" s="27"/>
      <c r="F322" s="95"/>
    </row>
    <row r="323" spans="2:6">
      <c r="B323" s="26" t="s">
        <v>14</v>
      </c>
      <c r="C323" s="27"/>
      <c r="D323" s="27"/>
      <c r="E323" s="27"/>
      <c r="F323" s="95"/>
    </row>
    <row r="324" spans="2:6">
      <c r="B324" s="26" t="s">
        <v>311</v>
      </c>
      <c r="C324" s="27"/>
      <c r="D324" s="27"/>
      <c r="E324" s="27"/>
      <c r="F324" s="95"/>
    </row>
    <row r="325" spans="2:6">
      <c r="B325" s="26" t="s">
        <v>14</v>
      </c>
      <c r="C325" s="27"/>
      <c r="D325" s="27"/>
      <c r="E325" s="27"/>
      <c r="F325" s="95"/>
    </row>
    <row r="326" spans="2:6">
      <c r="B326" s="26" t="s">
        <v>312</v>
      </c>
      <c r="C326" s="27"/>
      <c r="D326" s="27"/>
      <c r="E326" s="27"/>
      <c r="F326" s="95"/>
    </row>
    <row r="327" spans="2:6">
      <c r="B327" s="26" t="s">
        <v>14</v>
      </c>
      <c r="C327" s="27"/>
      <c r="D327" s="27"/>
      <c r="E327" s="27"/>
      <c r="F327" s="95"/>
    </row>
    <row r="328" spans="2:6">
      <c r="B328" s="26" t="s">
        <v>313</v>
      </c>
      <c r="C328" s="27"/>
      <c r="D328" s="27"/>
      <c r="E328" s="27"/>
      <c r="F328" s="95"/>
    </row>
    <row r="329" spans="2:6">
      <c r="B329" s="26" t="s">
        <v>14</v>
      </c>
      <c r="C329" s="27"/>
      <c r="D329" s="27"/>
      <c r="E329" s="27"/>
      <c r="F329" s="95"/>
    </row>
    <row r="330" spans="2:6">
      <c r="B330" s="26" t="s">
        <v>314</v>
      </c>
      <c r="C330" s="27"/>
      <c r="D330" s="27"/>
      <c r="E330" s="27"/>
      <c r="F330" s="95"/>
    </row>
    <row r="331" spans="2:6">
      <c r="B331" s="26" t="s">
        <v>14</v>
      </c>
      <c r="C331" s="27"/>
      <c r="D331" s="27"/>
      <c r="E331" s="27"/>
      <c r="F331" s="95"/>
    </row>
    <row r="332" spans="2:6">
      <c r="B332" s="26" t="s">
        <v>315</v>
      </c>
      <c r="C332" s="27"/>
      <c r="D332" s="27"/>
      <c r="E332" s="27"/>
      <c r="F332" s="95"/>
    </row>
    <row r="333" spans="2:6">
      <c r="B333" s="26" t="s">
        <v>14</v>
      </c>
      <c r="C333" s="27"/>
      <c r="D333" s="27"/>
      <c r="E333" s="27"/>
      <c r="F333" s="95"/>
    </row>
    <row r="334" spans="2:6">
      <c r="B334" s="26" t="s">
        <v>316</v>
      </c>
      <c r="C334" s="27"/>
      <c r="D334" s="27"/>
      <c r="E334" s="27"/>
      <c r="F334" s="95"/>
    </row>
    <row r="335" spans="2:6">
      <c r="B335" s="26" t="s">
        <v>443</v>
      </c>
      <c r="C335" s="27"/>
      <c r="D335" s="27"/>
      <c r="E335" s="27"/>
      <c r="F335" s="95"/>
    </row>
    <row r="336" spans="2:6">
      <c r="B336" s="26" t="s">
        <v>317</v>
      </c>
      <c r="C336" s="27"/>
      <c r="D336" s="27"/>
      <c r="E336" s="27"/>
      <c r="F336" s="95"/>
    </row>
    <row r="337" spans="2:6">
      <c r="B337" s="26" t="s">
        <v>14</v>
      </c>
      <c r="C337" s="27"/>
      <c r="D337" s="27"/>
      <c r="E337" s="27"/>
      <c r="F337" s="95"/>
    </row>
    <row r="338" spans="2:6">
      <c r="B338" s="26" t="s">
        <v>318</v>
      </c>
      <c r="C338" s="27"/>
      <c r="D338" s="27"/>
      <c r="E338" s="27"/>
      <c r="F338" s="95"/>
    </row>
    <row r="339" spans="2:6">
      <c r="B339" s="26" t="s">
        <v>14</v>
      </c>
      <c r="C339" s="27"/>
      <c r="D339" s="27"/>
      <c r="E339" s="27"/>
      <c r="F339" s="95"/>
    </row>
    <row r="340" spans="2:6">
      <c r="B340" s="26" t="s">
        <v>319</v>
      </c>
      <c r="C340" s="27"/>
      <c r="D340" s="27"/>
      <c r="E340" s="27"/>
      <c r="F340" s="95"/>
    </row>
    <row r="341" spans="2:6">
      <c r="B341" s="26" t="s">
        <v>14</v>
      </c>
      <c r="C341" s="27"/>
      <c r="D341" s="27"/>
      <c r="E341" s="27"/>
      <c r="F341" s="95"/>
    </row>
    <row r="342" spans="2:6">
      <c r="B342" s="26" t="s">
        <v>320</v>
      </c>
      <c r="C342" s="27"/>
      <c r="D342" s="27"/>
      <c r="E342" s="27"/>
      <c r="F342" s="95"/>
    </row>
    <row r="343" spans="2:6">
      <c r="B343" s="26" t="s">
        <v>14</v>
      </c>
      <c r="C343" s="27"/>
      <c r="D343" s="27"/>
      <c r="E343" s="27"/>
      <c r="F343" s="95"/>
    </row>
    <row r="344" spans="2:6">
      <c r="B344" s="26" t="s">
        <v>321</v>
      </c>
      <c r="C344" s="27"/>
      <c r="D344" s="27"/>
      <c r="E344" s="27"/>
      <c r="F344" s="95"/>
    </row>
    <row r="345" spans="2:6">
      <c r="B345" s="26" t="s">
        <v>14</v>
      </c>
      <c r="C345" s="27"/>
      <c r="D345" s="27"/>
      <c r="E345" s="27"/>
      <c r="F345" s="95"/>
    </row>
    <row r="346" spans="2:6">
      <c r="B346" s="26" t="s">
        <v>322</v>
      </c>
      <c r="C346" s="27"/>
      <c r="D346" s="27"/>
      <c r="E346" s="27"/>
      <c r="F346" s="95"/>
    </row>
    <row r="347" spans="2:6">
      <c r="B347" s="26" t="s">
        <v>14</v>
      </c>
      <c r="C347" s="27"/>
      <c r="D347" s="27"/>
      <c r="E347" s="27"/>
      <c r="F347" s="95"/>
    </row>
    <row r="348" spans="2:6">
      <c r="B348" s="26" t="s">
        <v>323</v>
      </c>
      <c r="C348" s="27"/>
      <c r="D348" s="27"/>
      <c r="E348" s="27"/>
      <c r="F348" s="95"/>
    </row>
    <row r="349" spans="2:6">
      <c r="B349" s="26" t="s">
        <v>14</v>
      </c>
      <c r="C349" s="27"/>
      <c r="D349" s="27"/>
      <c r="E349" s="27"/>
      <c r="F349" s="95"/>
    </row>
    <row r="350" spans="2:6">
      <c r="B350" s="26" t="s">
        <v>324</v>
      </c>
      <c r="C350" s="27"/>
      <c r="D350" s="27"/>
      <c r="E350" s="27"/>
      <c r="F350" s="95"/>
    </row>
    <row r="351" spans="2:6">
      <c r="B351" s="26" t="s">
        <v>444</v>
      </c>
      <c r="C351" s="27"/>
      <c r="D351" s="27"/>
      <c r="E351" s="27"/>
      <c r="F351" s="95"/>
    </row>
    <row r="352" spans="2:6">
      <c r="B352" s="26" t="s">
        <v>325</v>
      </c>
      <c r="C352" s="27"/>
      <c r="D352" s="27"/>
      <c r="E352" s="27"/>
      <c r="F352" s="95"/>
    </row>
    <row r="353" spans="2:6">
      <c r="B353" s="26" t="s">
        <v>14</v>
      </c>
      <c r="C353" s="27"/>
      <c r="D353" s="27"/>
      <c r="E353" s="27"/>
      <c r="F353" s="95"/>
    </row>
    <row r="354" spans="2:6">
      <c r="B354" s="26" t="s">
        <v>326</v>
      </c>
      <c r="C354" s="27"/>
      <c r="D354" s="27"/>
      <c r="E354" s="27"/>
      <c r="F354" s="95"/>
    </row>
    <row r="355" spans="2:6">
      <c r="B355" s="26" t="s">
        <v>14</v>
      </c>
      <c r="C355" s="27"/>
      <c r="D355" s="27"/>
      <c r="E355" s="27"/>
      <c r="F355" s="95"/>
    </row>
    <row r="356" spans="2:6">
      <c r="B356" s="26" t="s">
        <v>327</v>
      </c>
      <c r="C356" s="27"/>
      <c r="D356" s="27"/>
      <c r="E356" s="27"/>
      <c r="F356" s="95"/>
    </row>
    <row r="357" spans="2:6">
      <c r="B357" s="26" t="s">
        <v>14</v>
      </c>
      <c r="C357" s="27"/>
      <c r="D357" s="27"/>
      <c r="E357" s="27"/>
      <c r="F357" s="95"/>
    </row>
    <row r="358" spans="2:6">
      <c r="B358" s="26" t="s">
        <v>328</v>
      </c>
      <c r="C358" s="27"/>
      <c r="D358" s="27"/>
      <c r="E358" s="27"/>
      <c r="F358" s="95"/>
    </row>
    <row r="359" spans="2:6">
      <c r="B359" s="26" t="s">
        <v>14</v>
      </c>
      <c r="C359" s="27"/>
      <c r="D359" s="27"/>
      <c r="E359" s="27"/>
      <c r="F359" s="95"/>
    </row>
    <row r="360" spans="2:6">
      <c r="B360" s="26" t="s">
        <v>329</v>
      </c>
      <c r="C360" s="27"/>
      <c r="D360" s="27"/>
      <c r="E360" s="27"/>
      <c r="F360" s="95"/>
    </row>
    <row r="361" spans="2:6">
      <c r="B361" s="26" t="s">
        <v>14</v>
      </c>
      <c r="C361" s="27"/>
      <c r="D361" s="27"/>
      <c r="E361" s="27"/>
      <c r="F361" s="95"/>
    </row>
    <row r="362" spans="2:6">
      <c r="B362" s="26" t="s">
        <v>330</v>
      </c>
      <c r="C362" s="27"/>
      <c r="D362" s="27"/>
      <c r="E362" s="27"/>
      <c r="F362" s="95"/>
    </row>
    <row r="363" spans="2:6">
      <c r="B363" s="26" t="s">
        <v>14</v>
      </c>
      <c r="C363" s="27"/>
      <c r="D363" s="27"/>
      <c r="E363" s="27"/>
      <c r="F363" s="95"/>
    </row>
    <row r="364" spans="2:6">
      <c r="B364" s="26" t="s">
        <v>331</v>
      </c>
      <c r="C364" s="27"/>
      <c r="D364" s="27"/>
      <c r="E364" s="27"/>
      <c r="F364" s="95"/>
    </row>
    <row r="365" spans="2:6">
      <c r="B365" s="26" t="s">
        <v>14</v>
      </c>
      <c r="C365" s="27"/>
      <c r="D365" s="27"/>
      <c r="E365" s="27"/>
      <c r="F365" s="95"/>
    </row>
    <row r="366" spans="2:6">
      <c r="B366" s="26" t="s">
        <v>332</v>
      </c>
      <c r="C366" s="27"/>
      <c r="D366" s="27"/>
      <c r="E366" s="27"/>
      <c r="F366" s="95"/>
    </row>
    <row r="367" spans="2:6">
      <c r="B367" s="26" t="s">
        <v>445</v>
      </c>
      <c r="C367" s="27"/>
      <c r="D367" s="27"/>
      <c r="E367" s="27"/>
      <c r="F367" s="95"/>
    </row>
    <row r="368" spans="2:6">
      <c r="B368" s="26" t="s">
        <v>333</v>
      </c>
      <c r="C368" s="27"/>
      <c r="D368" s="27"/>
      <c r="E368" s="27"/>
      <c r="F368" s="95"/>
    </row>
    <row r="369" spans="2:6">
      <c r="B369" s="26" t="s">
        <v>14</v>
      </c>
      <c r="C369" s="27"/>
      <c r="D369" s="27"/>
      <c r="E369" s="27"/>
      <c r="F369" s="95"/>
    </row>
    <row r="370" spans="2:6">
      <c r="B370" s="26" t="s">
        <v>334</v>
      </c>
      <c r="C370" s="27"/>
      <c r="D370" s="27"/>
      <c r="E370" s="27"/>
      <c r="F370" s="95"/>
    </row>
    <row r="371" spans="2:6">
      <c r="B371" s="26" t="s">
        <v>14</v>
      </c>
      <c r="C371" s="27"/>
      <c r="D371" s="27"/>
      <c r="E371" s="27"/>
      <c r="F371" s="95"/>
    </row>
    <row r="372" spans="2:6">
      <c r="B372" s="26" t="s">
        <v>335</v>
      </c>
      <c r="C372" s="27"/>
      <c r="D372" s="27"/>
      <c r="E372" s="27"/>
      <c r="F372" s="95"/>
    </row>
    <row r="373" spans="2:6">
      <c r="B373" s="26" t="s">
        <v>14</v>
      </c>
      <c r="C373" s="27"/>
      <c r="D373" s="27"/>
      <c r="E373" s="27"/>
      <c r="F373" s="95"/>
    </row>
    <row r="374" spans="2:6">
      <c r="B374" s="26" t="s">
        <v>336</v>
      </c>
      <c r="C374" s="27"/>
      <c r="D374" s="27"/>
      <c r="E374" s="27"/>
      <c r="F374" s="95"/>
    </row>
    <row r="375" spans="2:6">
      <c r="B375" s="26" t="s">
        <v>14</v>
      </c>
      <c r="C375" s="27"/>
      <c r="D375" s="27"/>
      <c r="E375" s="27"/>
      <c r="F375" s="95"/>
    </row>
    <row r="376" spans="2:6">
      <c r="B376" s="26" t="s">
        <v>337</v>
      </c>
      <c r="C376" s="27"/>
      <c r="D376" s="27"/>
      <c r="E376" s="27"/>
      <c r="F376" s="95"/>
    </row>
    <row r="377" spans="2:6">
      <c r="B377" s="26" t="s">
        <v>14</v>
      </c>
      <c r="C377" s="27"/>
      <c r="D377" s="27"/>
      <c r="E377" s="27"/>
      <c r="F377" s="95"/>
    </row>
    <row r="378" spans="2:6">
      <c r="B378" s="26" t="s">
        <v>338</v>
      </c>
      <c r="C378" s="27"/>
      <c r="D378" s="27"/>
      <c r="E378" s="27"/>
      <c r="F378" s="95"/>
    </row>
    <row r="379" spans="2:6">
      <c r="B379" s="26" t="s">
        <v>14</v>
      </c>
      <c r="C379" s="27"/>
      <c r="D379" s="27"/>
      <c r="E379" s="27"/>
      <c r="F379" s="95"/>
    </row>
    <row r="380" spans="2:6">
      <c r="B380" s="26" t="s">
        <v>339</v>
      </c>
      <c r="C380" s="27"/>
      <c r="D380" s="27"/>
      <c r="E380" s="27"/>
      <c r="F380" s="95"/>
    </row>
    <row r="381" spans="2:6">
      <c r="B381" s="26" t="s">
        <v>14</v>
      </c>
      <c r="C381" s="27"/>
      <c r="D381" s="27"/>
      <c r="E381" s="27"/>
      <c r="F381" s="95"/>
    </row>
    <row r="382" spans="2:6">
      <c r="B382" s="26" t="s">
        <v>340</v>
      </c>
      <c r="C382" s="27"/>
      <c r="D382" s="27"/>
      <c r="E382" s="27"/>
      <c r="F382" s="95"/>
    </row>
    <row r="383" spans="2:6">
      <c r="B383" s="26" t="s">
        <v>446</v>
      </c>
      <c r="C383" s="27"/>
      <c r="D383" s="27"/>
      <c r="E383" s="27"/>
      <c r="F383" s="95"/>
    </row>
    <row r="384" spans="2:6">
      <c r="B384" s="26" t="s">
        <v>341</v>
      </c>
      <c r="C384" s="27"/>
      <c r="D384" s="27"/>
      <c r="E384" s="27"/>
      <c r="F384" s="95"/>
    </row>
    <row r="385" spans="2:6">
      <c r="B385" s="26" t="s">
        <v>447</v>
      </c>
      <c r="C385" s="27"/>
      <c r="D385" s="27"/>
      <c r="E385" s="27"/>
      <c r="F385" s="95"/>
    </row>
    <row r="386" spans="2:6">
      <c r="B386" s="26" t="s">
        <v>342</v>
      </c>
      <c r="C386" s="27"/>
      <c r="D386" s="27"/>
      <c r="E386" s="27"/>
      <c r="F386" s="95"/>
    </row>
    <row r="387" spans="2:6">
      <c r="B387" s="26" t="s">
        <v>14</v>
      </c>
      <c r="C387" s="27"/>
      <c r="D387" s="27"/>
      <c r="E387" s="27"/>
      <c r="F387" s="95"/>
    </row>
    <row r="388" spans="2:6">
      <c r="B388" s="26" t="s">
        <v>343</v>
      </c>
      <c r="C388" s="27"/>
      <c r="D388" s="27"/>
      <c r="E388" s="27"/>
      <c r="F388" s="95"/>
    </row>
    <row r="389" spans="2:6">
      <c r="B389" s="26" t="s">
        <v>14</v>
      </c>
      <c r="C389" s="27"/>
      <c r="D389" s="27"/>
      <c r="E389" s="27"/>
      <c r="F389" s="95"/>
    </row>
    <row r="390" spans="2:6">
      <c r="B390" s="26" t="s">
        <v>344</v>
      </c>
      <c r="C390" s="27"/>
      <c r="D390" s="27"/>
      <c r="E390" s="27"/>
      <c r="F390" s="95"/>
    </row>
    <row r="391" spans="2:6">
      <c r="B391" s="26" t="s">
        <v>448</v>
      </c>
      <c r="C391" s="27"/>
      <c r="D391" s="27"/>
      <c r="E391" s="27"/>
      <c r="F391" s="95"/>
    </row>
    <row r="392" spans="2:6">
      <c r="B392" s="26" t="s">
        <v>345</v>
      </c>
      <c r="C392" s="27"/>
      <c r="D392" s="27"/>
      <c r="E392" s="27"/>
      <c r="F392" s="95"/>
    </row>
    <row r="393" spans="2:6">
      <c r="B393" s="26" t="s">
        <v>449</v>
      </c>
      <c r="C393" s="27"/>
      <c r="D393" s="27"/>
      <c r="E393" s="27"/>
    </row>
    <row r="396" spans="2:6" ht="18.75">
      <c r="B396" s="5" t="s">
        <v>456</v>
      </c>
    </row>
    <row r="397" spans="2:6" ht="15.75">
      <c r="B397" s="20" t="s">
        <v>391</v>
      </c>
    </row>
    <row r="398" spans="2:6" ht="15.75">
      <c r="B398" s="20" t="s">
        <v>38</v>
      </c>
    </row>
    <row r="399" spans="2:6" ht="16.5" thickBot="1">
      <c r="B399" s="20" t="s">
        <v>393</v>
      </c>
    </row>
    <row r="400" spans="2:6" ht="15.75" thickBot="1">
      <c r="B400" s="21" t="s">
        <v>33</v>
      </c>
      <c r="C400" s="133" t="s">
        <v>392</v>
      </c>
      <c r="D400" s="116"/>
      <c r="E400" s="116"/>
      <c r="F400" s="117"/>
    </row>
    <row r="401" spans="2:6" ht="15.75" thickBot="1">
      <c r="B401" s="107" t="s">
        <v>31</v>
      </c>
      <c r="C401" s="140" t="str">
        <f ca="1">'CALCULATIONS MCP'!BA7</f>
        <v>DCM(138:20BA73D2; 139:20B77771; 140:20B56992; 141:1F5D9BA8; 142:1F73A467; 143:1F74DAC6)</v>
      </c>
      <c r="D401" s="116"/>
      <c r="E401" s="116"/>
      <c r="F401" s="117"/>
    </row>
    <row r="402" spans="2:6" ht="15.75" thickBot="1">
      <c r="B402" s="107" t="s">
        <v>32</v>
      </c>
      <c r="C402" s="130" t="str">
        <f ca="1">'CALCULATIONS MCP'!BA10</f>
        <v>DCM(170:0; 171:0; 172:0; 173:FFF3AD39; 174:FFF22FC1; 175:FFF0A58D)</v>
      </c>
      <c r="D402" s="131"/>
      <c r="E402" s="131"/>
      <c r="F402" s="132"/>
    </row>
    <row r="403" spans="2:6">
      <c r="B403" s="1"/>
    </row>
    <row r="404" spans="2:6" ht="18.75">
      <c r="B404" s="5" t="s">
        <v>457</v>
      </c>
    </row>
    <row r="405" spans="2:6" ht="15.75">
      <c r="B405" s="20" t="s">
        <v>459</v>
      </c>
    </row>
    <row r="406" spans="2:6">
      <c r="B406" s="1"/>
    </row>
    <row r="407" spans="2:6">
      <c r="B407" s="1"/>
    </row>
  </sheetData>
  <mergeCells count="6">
    <mergeCell ref="C402:F402"/>
    <mergeCell ref="C51:F51"/>
    <mergeCell ref="C52:F52"/>
    <mergeCell ref="C53:F53"/>
    <mergeCell ref="C400:F400"/>
    <mergeCell ref="C401:F401"/>
  </mergeCells>
  <pageMargins left="0.7" right="0.7" top="0.75" bottom="0.75" header="0.3" footer="0.3"/>
  <pageSetup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3618-4CC5-4C12-AF96-D5274BEC8A62}">
  <sheetPr>
    <pageSetUpPr fitToPage="1"/>
  </sheetPr>
  <dimension ref="B1:P20"/>
  <sheetViews>
    <sheetView zoomScaleNormal="100" workbookViewId="0">
      <selection activeCell="B28" sqref="B28"/>
    </sheetView>
  </sheetViews>
  <sheetFormatPr defaultRowHeight="15"/>
  <cols>
    <col min="2" max="2" width="22.7109375" style="4" customWidth="1"/>
    <col min="3" max="3" width="24.42578125" customWidth="1"/>
    <col min="4" max="4" width="22.28515625" customWidth="1"/>
    <col min="5" max="5" width="23.7109375" customWidth="1"/>
    <col min="6" max="6" width="45.5703125" customWidth="1"/>
    <col min="8" max="8" width="19.5703125" customWidth="1"/>
    <col min="9" max="9" width="18" customWidth="1"/>
    <col min="10" max="10" width="19.85546875" customWidth="1"/>
    <col min="11" max="11" width="13.85546875" customWidth="1"/>
    <col min="12" max="12" width="15.7109375" customWidth="1"/>
  </cols>
  <sheetData>
    <row r="1" spans="2:16" ht="23.25">
      <c r="B1" s="17" t="s">
        <v>41</v>
      </c>
      <c r="G1" s="28"/>
      <c r="H1" s="28"/>
      <c r="I1" s="28"/>
      <c r="J1" s="14"/>
      <c r="K1" s="14"/>
      <c r="L1" s="14"/>
      <c r="M1" s="14"/>
      <c r="N1" s="14"/>
    </row>
    <row r="2" spans="2:16" ht="18.75">
      <c r="B2" s="5" t="s">
        <v>42</v>
      </c>
      <c r="D2" s="5"/>
      <c r="G2" s="13"/>
      <c r="H2" s="13"/>
      <c r="J2" s="14"/>
      <c r="K2" s="28"/>
      <c r="L2" s="28"/>
      <c r="M2" s="28"/>
      <c r="N2" s="28"/>
    </row>
    <row r="3" spans="2:16" ht="19.5" thickBot="1">
      <c r="B3" s="20" t="s">
        <v>43</v>
      </c>
      <c r="D3" s="5"/>
      <c r="H3" t="s">
        <v>408</v>
      </c>
      <c r="J3" s="15"/>
      <c r="K3" s="15"/>
      <c r="L3" s="15"/>
      <c r="M3" s="15"/>
      <c r="N3" s="15"/>
    </row>
    <row r="4" spans="2:16" ht="15.75" customHeight="1" thickBot="1">
      <c r="B4" s="18" t="s">
        <v>29</v>
      </c>
      <c r="C4" s="23" t="s">
        <v>44</v>
      </c>
      <c r="D4" s="23" t="s">
        <v>45</v>
      </c>
      <c r="E4" s="23" t="s">
        <v>46</v>
      </c>
      <c r="F4" s="18" t="s">
        <v>50</v>
      </c>
      <c r="H4" s="18" t="s">
        <v>29</v>
      </c>
      <c r="I4" s="23" t="s">
        <v>409</v>
      </c>
    </row>
    <row r="5" spans="2:16" ht="15.75" customHeight="1" thickBot="1">
      <c r="B5" s="19" t="s">
        <v>47</v>
      </c>
      <c r="C5" s="29">
        <v>3200</v>
      </c>
      <c r="D5" s="30">
        <v>3200</v>
      </c>
      <c r="E5" s="22" t="str">
        <f>"DCW[32]("&amp; DEC2HEX(ROUND(1000*2^24/C5,0)) &amp;")"</f>
        <v>DCW[32](500000)</v>
      </c>
      <c r="F5" s="141" t="s">
        <v>67</v>
      </c>
      <c r="H5" s="19" t="s">
        <v>410</v>
      </c>
      <c r="I5" s="111">
        <v>50</v>
      </c>
    </row>
    <row r="6" spans="2:16" ht="15.75" customHeight="1" thickBot="1">
      <c r="B6" s="19" t="s">
        <v>48</v>
      </c>
      <c r="C6" s="33">
        <v>3200</v>
      </c>
      <c r="D6" s="34">
        <v>3200</v>
      </c>
      <c r="E6" s="22" t="str">
        <f>"DCW[33]("&amp; DEC2HEX(ROUND(1000*2^24/C6,0)) &amp;")"</f>
        <v>DCW[33](500000)</v>
      </c>
      <c r="F6" s="142"/>
      <c r="H6" s="19" t="s">
        <v>412</v>
      </c>
      <c r="I6" s="112">
        <f>HEX2DEC("9A523")/2^10</f>
        <v>617.2841796875</v>
      </c>
      <c r="L6" s="15"/>
      <c r="M6" s="15"/>
      <c r="N6" s="15"/>
      <c r="O6" s="15"/>
      <c r="P6" s="15"/>
    </row>
    <row r="7" spans="2:16" ht="15.75" customHeight="1" thickBot="1">
      <c r="B7" s="19" t="s">
        <v>49</v>
      </c>
      <c r="C7" s="35">
        <v>3200</v>
      </c>
      <c r="D7" s="36">
        <v>3200</v>
      </c>
      <c r="E7" s="22" t="str">
        <f>"DCW[34]("&amp; DEC2HEX(ROUND(1000*2^24/C7,0)) &amp;")"</f>
        <v>DCW[34](500000)</v>
      </c>
      <c r="F7" s="143"/>
      <c r="H7" s="19" t="s">
        <v>411</v>
      </c>
      <c r="I7" s="112">
        <f>HEX2DEC("19CC00")/2^10</f>
        <v>1651</v>
      </c>
      <c r="L7" s="15"/>
      <c r="M7" s="15"/>
      <c r="N7" s="15"/>
      <c r="O7" s="15"/>
      <c r="P7" s="15"/>
    </row>
    <row r="8" spans="2:16" ht="15.75" customHeight="1" thickBot="1">
      <c r="B8" s="19" t="s">
        <v>54</v>
      </c>
      <c r="C8" s="40">
        <v>11</v>
      </c>
      <c r="D8" s="41">
        <v>0</v>
      </c>
      <c r="E8" s="22" t="str">
        <f>"DCW[35]("&amp;MID(DEC2HEX(ROUND(TOOLS!C8/I5/3600*2^30,0),10),3,8) &amp;")"</f>
        <v>DCW[35](00010052)</v>
      </c>
      <c r="F8" s="144" t="s">
        <v>58</v>
      </c>
      <c r="L8" s="15"/>
      <c r="M8" s="15"/>
      <c r="N8" s="15"/>
      <c r="O8" s="15"/>
      <c r="P8" s="15"/>
    </row>
    <row r="9" spans="2:16" ht="15.75" customHeight="1" thickBot="1">
      <c r="B9" s="19" t="s">
        <v>55</v>
      </c>
      <c r="C9" s="43">
        <v>11</v>
      </c>
      <c r="D9" s="42">
        <v>0</v>
      </c>
      <c r="E9" s="22" t="str">
        <f>"DCW[36]("&amp;MID(DEC2HEX(ROUND(TOOLS!C9/I5/3600*2^30,0),10),3,8) &amp;")"</f>
        <v>DCW[36](00010052)</v>
      </c>
      <c r="F9" s="145"/>
      <c r="L9" s="15"/>
      <c r="M9" s="15"/>
      <c r="N9" s="15"/>
      <c r="O9" s="15"/>
      <c r="P9" s="15"/>
    </row>
    <row r="10" spans="2:16" ht="15.75" customHeight="1" thickBot="1">
      <c r="B10" s="19" t="s">
        <v>56</v>
      </c>
      <c r="C10" s="44">
        <v>10</v>
      </c>
      <c r="D10" s="45">
        <v>0</v>
      </c>
      <c r="E10" s="22" t="str">
        <f>"DCW[37]("&amp;MID(DEC2HEX(ROUND(TOOLS!C10/I6*2^20,0),10),3,8) &amp;")"</f>
        <v>DCW[37](0000425B)</v>
      </c>
      <c r="F10" s="146"/>
      <c r="L10" s="15"/>
      <c r="M10" s="15"/>
      <c r="N10" s="15"/>
      <c r="O10" s="15"/>
      <c r="P10" s="15"/>
    </row>
    <row r="11" spans="2:16" ht="15.75" customHeight="1" thickBot="1">
      <c r="B11" s="19" t="s">
        <v>413</v>
      </c>
      <c r="C11" s="31">
        <v>-5</v>
      </c>
      <c r="D11" s="32">
        <v>0</v>
      </c>
      <c r="E11" s="22" t="str">
        <f>"DCW[218](" &amp; MID(DEC2HEX(-ROUND(C11*2^40/(I6*I7),0),10),3,8) &amp;")"</f>
        <v>DCW[218](00524F9B)</v>
      </c>
      <c r="F11" s="144" t="s">
        <v>51</v>
      </c>
    </row>
    <row r="12" spans="2:16" ht="15.75" customHeight="1" thickBot="1">
      <c r="B12" s="19" t="s">
        <v>414</v>
      </c>
      <c r="C12" s="38">
        <v>-5</v>
      </c>
      <c r="D12" s="39">
        <v>0</v>
      </c>
      <c r="E12" s="22" t="str">
        <f>"DCW[250](" &amp; MID(DEC2HEX(-ROUND(C12*2^40/(I6*I7),0),10),3,8) &amp;")"</f>
        <v>DCW[250](00524F9B)</v>
      </c>
      <c r="F12" s="145"/>
    </row>
    <row r="13" spans="2:16" ht="15.75" thickBot="1">
      <c r="B13" s="19" t="s">
        <v>52</v>
      </c>
      <c r="C13" s="31">
        <v>0.05</v>
      </c>
      <c r="D13" s="32">
        <v>0</v>
      </c>
      <c r="E13" s="22" t="str">
        <f>"DCW[40](" &amp; MID(DEC2HEX(-ROUND(C13*2^30/180000,0),10),3,8) &amp;")"</f>
        <v>DCW[40](FFFFFED6)</v>
      </c>
      <c r="F13" s="145"/>
    </row>
    <row r="14" spans="2:16" ht="15.75" thickBot="1">
      <c r="B14" s="19" t="s">
        <v>53</v>
      </c>
      <c r="C14" s="38">
        <v>-0.05</v>
      </c>
      <c r="D14" s="39">
        <v>0</v>
      </c>
      <c r="E14" s="22" t="str">
        <f>"DCW[41](" &amp; MID(DEC2HEX(-ROUND(C14*2^30/180000,0),10),3,8) &amp;")"</f>
        <v>DCW[41](0000012A)</v>
      </c>
      <c r="F14" s="146"/>
    </row>
    <row r="17" spans="2:4" ht="18.75">
      <c r="B17" s="5" t="s">
        <v>72</v>
      </c>
    </row>
    <row r="18" spans="2:4" ht="16.5" thickBot="1">
      <c r="B18" s="20" t="s">
        <v>71</v>
      </c>
    </row>
    <row r="19" spans="2:4" ht="15.75" thickBot="1">
      <c r="B19" s="18" t="s">
        <v>68</v>
      </c>
      <c r="C19" s="23" t="s">
        <v>69</v>
      </c>
      <c r="D19" s="23" t="s">
        <v>70</v>
      </c>
    </row>
    <row r="20" spans="2:4" ht="15.75" thickBot="1">
      <c r="B20" s="29">
        <v>3200</v>
      </c>
      <c r="C20" s="47">
        <v>18</v>
      </c>
      <c r="D20" s="46">
        <f>B20*C20/3600</f>
        <v>16</v>
      </c>
    </row>
  </sheetData>
  <mergeCells count="3">
    <mergeCell ref="F5:F7"/>
    <mergeCell ref="F8:F10"/>
    <mergeCell ref="F11:F14"/>
  </mergeCells>
  <pageMargins left="0.7" right="0.7" top="0.75" bottom="0.75" header="0.3" footer="0.3"/>
  <pageSetup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77358-97CE-48EA-BD2D-F0889C7A47B3}">
  <dimension ref="B2:D7"/>
  <sheetViews>
    <sheetView workbookViewId="0">
      <selection activeCell="D23" sqref="D23"/>
    </sheetView>
  </sheetViews>
  <sheetFormatPr defaultRowHeight="15"/>
  <cols>
    <col min="3" max="3" width="11.5703125" customWidth="1"/>
    <col min="4" max="4" width="167.5703125" customWidth="1"/>
  </cols>
  <sheetData>
    <row r="2" spans="2:4">
      <c r="B2" s="14" t="s">
        <v>22</v>
      </c>
      <c r="C2" s="14" t="s">
        <v>23</v>
      </c>
      <c r="D2" s="14" t="s">
        <v>24</v>
      </c>
    </row>
    <row r="3" spans="2:4">
      <c r="B3" s="15">
        <v>6</v>
      </c>
      <c r="C3" s="16">
        <v>45455</v>
      </c>
      <c r="D3" s="7" t="s">
        <v>407</v>
      </c>
    </row>
    <row r="4" spans="2:4">
      <c r="B4" s="15">
        <v>5</v>
      </c>
      <c r="C4" s="16">
        <v>45176</v>
      </c>
      <c r="D4" s="7" t="s">
        <v>73</v>
      </c>
    </row>
    <row r="5" spans="2:4" ht="45">
      <c r="B5" s="15">
        <v>4</v>
      </c>
      <c r="C5" s="16">
        <v>44853</v>
      </c>
      <c r="D5" s="7" t="s">
        <v>27</v>
      </c>
    </row>
    <row r="6" spans="2:4" ht="30">
      <c r="B6" s="15">
        <v>3.1</v>
      </c>
      <c r="C6" s="16">
        <v>44771</v>
      </c>
      <c r="D6" s="7" t="s">
        <v>25</v>
      </c>
    </row>
    <row r="7" spans="2:4">
      <c r="B7" s="13">
        <v>3</v>
      </c>
      <c r="C7" s="16">
        <v>44614</v>
      </c>
      <c r="D7" t="s">
        <v>26</v>
      </c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DB2E-6200-4CE1-8F22-B8D8545A32AC}">
  <dimension ref="B1:BH114"/>
  <sheetViews>
    <sheetView topLeftCell="A63" workbookViewId="0">
      <selection activeCell="Q52" sqref="Q52"/>
    </sheetView>
  </sheetViews>
  <sheetFormatPr defaultRowHeight="15"/>
  <cols>
    <col min="2" max="2" width="11.42578125" customWidth="1"/>
    <col min="3" max="3" width="8.42578125" customWidth="1"/>
    <col min="4" max="4" width="8" customWidth="1"/>
    <col min="5" max="5" width="7.85546875" customWidth="1"/>
    <col min="6" max="6" width="9.140625" customWidth="1"/>
    <col min="7" max="7" width="14.7109375" customWidth="1"/>
    <col min="8" max="8" width="8" customWidth="1"/>
    <col min="9" max="9" width="7.5703125" customWidth="1"/>
    <col min="10" max="10" width="6.42578125" customWidth="1"/>
    <col min="11" max="40" width="4.42578125" customWidth="1"/>
    <col min="41" max="43" width="4.5703125" customWidth="1"/>
    <col min="44" max="46" width="3.42578125" customWidth="1"/>
    <col min="52" max="52" width="10" bestFit="1" customWidth="1"/>
    <col min="53" max="53" width="17.28515625" customWidth="1"/>
  </cols>
  <sheetData>
    <row r="1" spans="2:57" ht="23.25">
      <c r="B1" s="17" t="s">
        <v>99</v>
      </c>
    </row>
    <row r="2" spans="2:57">
      <c r="AY2" t="s">
        <v>74</v>
      </c>
      <c r="BD2" t="s">
        <v>94</v>
      </c>
    </row>
    <row r="3" spans="2:57">
      <c r="B3" s="14" t="s">
        <v>115</v>
      </c>
      <c r="I3" s="14" t="s">
        <v>90</v>
      </c>
      <c r="J3" s="14"/>
      <c r="AY3" t="s">
        <v>75</v>
      </c>
      <c r="BD3" t="s">
        <v>95</v>
      </c>
      <c r="BE3">
        <v>0</v>
      </c>
    </row>
    <row r="4" spans="2:57">
      <c r="B4" s="49">
        <v>9</v>
      </c>
      <c r="H4" s="10" t="s">
        <v>91</v>
      </c>
      <c r="I4" s="10">
        <v>0</v>
      </c>
      <c r="J4" s="10">
        <f t="shared" ref="J4:AN4" si="0">1+I4</f>
        <v>1</v>
      </c>
      <c r="K4" s="10">
        <f t="shared" si="0"/>
        <v>2</v>
      </c>
      <c r="L4" s="10">
        <f t="shared" si="0"/>
        <v>3</v>
      </c>
      <c r="M4" s="10">
        <f t="shared" si="0"/>
        <v>4</v>
      </c>
      <c r="N4" s="10">
        <f t="shared" si="0"/>
        <v>5</v>
      </c>
      <c r="O4" s="10">
        <f t="shared" si="0"/>
        <v>6</v>
      </c>
      <c r="P4" s="10">
        <f t="shared" si="0"/>
        <v>7</v>
      </c>
      <c r="Q4" s="10">
        <f t="shared" si="0"/>
        <v>8</v>
      </c>
      <c r="R4" s="10">
        <f t="shared" si="0"/>
        <v>9</v>
      </c>
      <c r="S4" s="10">
        <f t="shared" si="0"/>
        <v>10</v>
      </c>
      <c r="T4" s="10">
        <f t="shared" si="0"/>
        <v>11</v>
      </c>
      <c r="U4" s="10">
        <f t="shared" si="0"/>
        <v>12</v>
      </c>
      <c r="V4" s="10">
        <f t="shared" si="0"/>
        <v>13</v>
      </c>
      <c r="W4" s="10">
        <f t="shared" si="0"/>
        <v>14</v>
      </c>
      <c r="X4" s="10">
        <f t="shared" si="0"/>
        <v>15</v>
      </c>
      <c r="Y4" s="10">
        <f t="shared" si="0"/>
        <v>16</v>
      </c>
      <c r="Z4" s="10">
        <f t="shared" si="0"/>
        <v>17</v>
      </c>
      <c r="AA4" s="10">
        <f t="shared" si="0"/>
        <v>18</v>
      </c>
      <c r="AB4" s="10">
        <f t="shared" si="0"/>
        <v>19</v>
      </c>
      <c r="AC4" s="10">
        <f t="shared" si="0"/>
        <v>20</v>
      </c>
      <c r="AD4" s="10">
        <f t="shared" si="0"/>
        <v>21</v>
      </c>
      <c r="AE4" s="10">
        <f t="shared" si="0"/>
        <v>22</v>
      </c>
      <c r="AF4" s="10">
        <f t="shared" si="0"/>
        <v>23</v>
      </c>
      <c r="AG4" s="10">
        <f t="shared" si="0"/>
        <v>24</v>
      </c>
      <c r="AH4" s="10">
        <f t="shared" si="0"/>
        <v>25</v>
      </c>
      <c r="AI4" s="10">
        <f t="shared" si="0"/>
        <v>26</v>
      </c>
      <c r="AJ4" s="10">
        <f t="shared" si="0"/>
        <v>27</v>
      </c>
      <c r="AK4" s="10">
        <f t="shared" si="0"/>
        <v>28</v>
      </c>
      <c r="AL4" s="10">
        <f t="shared" si="0"/>
        <v>29</v>
      </c>
      <c r="AM4" s="10">
        <f t="shared" si="0"/>
        <v>30</v>
      </c>
      <c r="AN4" s="10">
        <f t="shared" si="0"/>
        <v>31</v>
      </c>
      <c r="AY4" t="s">
        <v>76</v>
      </c>
      <c r="BD4" t="s">
        <v>96</v>
      </c>
      <c r="BE4">
        <v>1</v>
      </c>
    </row>
    <row r="5" spans="2:57">
      <c r="H5" s="10" t="s">
        <v>92</v>
      </c>
      <c r="I5" s="9" t="s">
        <v>93</v>
      </c>
      <c r="J5" s="9" t="s">
        <v>93</v>
      </c>
      <c r="K5" s="9" t="s">
        <v>93</v>
      </c>
      <c r="L5" s="9" t="s">
        <v>95</v>
      </c>
      <c r="M5" s="9" t="s">
        <v>95</v>
      </c>
      <c r="N5" s="9" t="s">
        <v>95</v>
      </c>
      <c r="O5" s="9" t="s">
        <v>95</v>
      </c>
      <c r="P5" s="9" t="s">
        <v>93</v>
      </c>
      <c r="Q5" s="9" t="s">
        <v>95</v>
      </c>
      <c r="R5" s="9" t="s">
        <v>93</v>
      </c>
      <c r="S5" s="9" t="s">
        <v>95</v>
      </c>
      <c r="T5" s="9" t="s">
        <v>93</v>
      </c>
      <c r="U5" s="9" t="s">
        <v>95</v>
      </c>
      <c r="V5" s="9" t="s">
        <v>95</v>
      </c>
      <c r="W5" s="9" t="s">
        <v>95</v>
      </c>
      <c r="X5" s="9" t="s">
        <v>95</v>
      </c>
      <c r="Y5" s="9" t="s">
        <v>95</v>
      </c>
      <c r="Z5" s="9" t="s">
        <v>95</v>
      </c>
      <c r="AA5" s="9" t="s">
        <v>95</v>
      </c>
      <c r="AB5" s="9" t="s">
        <v>95</v>
      </c>
      <c r="AC5" s="9" t="s">
        <v>95</v>
      </c>
      <c r="AD5" s="9" t="s">
        <v>95</v>
      </c>
      <c r="AE5" s="9" t="s">
        <v>95</v>
      </c>
      <c r="AF5" s="9" t="s">
        <v>95</v>
      </c>
      <c r="AG5" s="9" t="s">
        <v>95</v>
      </c>
      <c r="AH5" s="9" t="s">
        <v>95</v>
      </c>
      <c r="AI5" s="9" t="s">
        <v>95</v>
      </c>
      <c r="AJ5" s="9" t="s">
        <v>95</v>
      </c>
      <c r="AK5" s="9" t="s">
        <v>95</v>
      </c>
      <c r="AL5" s="9" t="s">
        <v>95</v>
      </c>
      <c r="AM5" s="9" t="s">
        <v>95</v>
      </c>
      <c r="AN5" s="9" t="s">
        <v>95</v>
      </c>
      <c r="AY5" t="s">
        <v>77</v>
      </c>
      <c r="BD5" t="s">
        <v>97</v>
      </c>
      <c r="BE5">
        <v>2</v>
      </c>
    </row>
    <row r="6" spans="2:57">
      <c r="H6" t="s">
        <v>98</v>
      </c>
      <c r="I6" s="8">
        <f t="shared" ref="I6:AN6" si="1">MATCH(I5, $BD$3:$BD$6, 0)-1</f>
        <v>3</v>
      </c>
      <c r="J6" s="8">
        <f t="shared" si="1"/>
        <v>3</v>
      </c>
      <c r="K6" s="8">
        <f t="shared" si="1"/>
        <v>3</v>
      </c>
      <c r="L6" s="8">
        <f t="shared" si="1"/>
        <v>0</v>
      </c>
      <c r="M6" s="8">
        <f t="shared" si="1"/>
        <v>0</v>
      </c>
      <c r="N6" s="8">
        <f t="shared" si="1"/>
        <v>0</v>
      </c>
      <c r="O6" s="8">
        <f t="shared" si="1"/>
        <v>0</v>
      </c>
      <c r="P6" s="8">
        <f t="shared" si="1"/>
        <v>3</v>
      </c>
      <c r="Q6" s="8">
        <f t="shared" si="1"/>
        <v>0</v>
      </c>
      <c r="R6" s="8">
        <f t="shared" si="1"/>
        <v>3</v>
      </c>
      <c r="S6" s="8">
        <f t="shared" si="1"/>
        <v>0</v>
      </c>
      <c r="T6" s="8">
        <f t="shared" si="1"/>
        <v>3</v>
      </c>
      <c r="U6" s="8">
        <f t="shared" si="1"/>
        <v>0</v>
      </c>
      <c r="V6" s="8">
        <f t="shared" si="1"/>
        <v>0</v>
      </c>
      <c r="W6" s="8">
        <f t="shared" si="1"/>
        <v>0</v>
      </c>
      <c r="X6" s="8">
        <f t="shared" si="1"/>
        <v>0</v>
      </c>
      <c r="Y6" s="8">
        <f t="shared" si="1"/>
        <v>0</v>
      </c>
      <c r="Z6" s="8">
        <f t="shared" si="1"/>
        <v>0</v>
      </c>
      <c r="AA6" s="8">
        <f t="shared" si="1"/>
        <v>0</v>
      </c>
      <c r="AB6" s="8">
        <f t="shared" si="1"/>
        <v>0</v>
      </c>
      <c r="AC6" s="8">
        <f t="shared" si="1"/>
        <v>0</v>
      </c>
      <c r="AD6" s="8">
        <f t="shared" si="1"/>
        <v>0</v>
      </c>
      <c r="AE6" s="8">
        <f t="shared" si="1"/>
        <v>0</v>
      </c>
      <c r="AF6" s="8">
        <f t="shared" si="1"/>
        <v>0</v>
      </c>
      <c r="AG6" s="8">
        <f t="shared" si="1"/>
        <v>0</v>
      </c>
      <c r="AH6" s="8">
        <f t="shared" si="1"/>
        <v>0</v>
      </c>
      <c r="AI6" s="8">
        <f t="shared" si="1"/>
        <v>0</v>
      </c>
      <c r="AJ6" s="8">
        <f t="shared" si="1"/>
        <v>0</v>
      </c>
      <c r="AK6" s="8">
        <f t="shared" si="1"/>
        <v>0</v>
      </c>
      <c r="AL6" s="8">
        <f t="shared" si="1"/>
        <v>0</v>
      </c>
      <c r="AM6" s="8">
        <f t="shared" si="1"/>
        <v>0</v>
      </c>
      <c r="AN6" s="8">
        <f t="shared" si="1"/>
        <v>0</v>
      </c>
      <c r="AY6" t="s">
        <v>78</v>
      </c>
      <c r="BD6" t="s">
        <v>93</v>
      </c>
      <c r="BE6">
        <v>3</v>
      </c>
    </row>
    <row r="7" spans="2:57">
      <c r="AB7" t="s">
        <v>116</v>
      </c>
      <c r="AE7" t="s">
        <v>60</v>
      </c>
      <c r="AH7" t="s">
        <v>117</v>
      </c>
      <c r="AK7" t="s">
        <v>64</v>
      </c>
      <c r="AY7" t="s">
        <v>79</v>
      </c>
    </row>
    <row r="8" spans="2:57">
      <c r="H8" s="11" t="str">
        <f>"DCW[21]("&amp;Q8&amp;")"</f>
        <v>DCW[21](00CCC03F)</v>
      </c>
      <c r="O8" t="s">
        <v>88</v>
      </c>
      <c r="Q8" t="str">
        <f>DEC2HEX(I6*2^0+J6*2^2+K6*2^4+L6*2^6+M6*2^8+N6*2^10+O6*2^12+P6*2^14+Q6*2^16+R6*2^18+S6*2^20+T6*2^22+U6*2^24+V6*2^26+W6*2^28+X6*2^30,8)</f>
        <v>00CCC03F</v>
      </c>
      <c r="AB8" t="s">
        <v>118</v>
      </c>
      <c r="AY8" t="s">
        <v>80</v>
      </c>
    </row>
    <row r="9" spans="2:57">
      <c r="H9" s="11" t="str">
        <f>"DCW[22]("&amp;Q9&amp;")"</f>
        <v>DCW[22](00000000)</v>
      </c>
      <c r="O9" t="s">
        <v>88</v>
      </c>
      <c r="Q9" t="str">
        <f>DEC2HEX(Y6*2^0+Z6*2^2+AA6*2^4+AB6*2^6+AC6*2^8+AD6*2^10+AE6*2^12+AF6*2^14+AG6*2^16+AH6*2^18+AI6*2^20+AJ6*2^22+AK6*2^24+AL6*2^26+AM6*2^28+AN6*2^30,8)</f>
        <v>00000000</v>
      </c>
      <c r="AA9" t="s">
        <v>119</v>
      </c>
      <c r="AB9" s="14" t="s">
        <v>120</v>
      </c>
      <c r="AC9" s="14" t="s">
        <v>121</v>
      </c>
      <c r="AD9" s="14" t="s">
        <v>101</v>
      </c>
      <c r="AE9" s="14" t="s">
        <v>122</v>
      </c>
      <c r="AF9" s="14"/>
      <c r="AG9" s="14"/>
      <c r="AH9" s="14" t="s">
        <v>123</v>
      </c>
      <c r="AI9" s="14"/>
      <c r="AJ9" s="14"/>
      <c r="AK9" s="14"/>
      <c r="AL9" s="14"/>
      <c r="AM9" s="14" t="s">
        <v>124</v>
      </c>
      <c r="AN9" s="14"/>
      <c r="AO9" s="14"/>
      <c r="AP9" s="14"/>
      <c r="AQ9" s="14"/>
      <c r="AR9" s="14"/>
      <c r="AY9" t="s">
        <v>81</v>
      </c>
    </row>
    <row r="10" spans="2:57">
      <c r="AA10">
        <v>106</v>
      </c>
      <c r="AB10">
        <v>0</v>
      </c>
      <c r="AC10">
        <f>AB10+$AA$10</f>
        <v>106</v>
      </c>
      <c r="AD10" t="str">
        <f>IF($I$6=3, "V", "I")</f>
        <v>V</v>
      </c>
      <c r="AE10" t="str">
        <f>IF(AD10="V",$AE$7,$AK$7)</f>
        <v>19CC00</v>
      </c>
      <c r="AH10" s="11" t="str">
        <f>"DCW["&amp;AC10&amp;"]("&amp;AE10&amp;")"</f>
        <v>DCW[106](19CC00)</v>
      </c>
      <c r="AM10" t="s">
        <v>125</v>
      </c>
      <c r="AY10" t="s">
        <v>82</v>
      </c>
    </row>
    <row r="11" spans="2:57">
      <c r="AB11">
        <f>1+AB10</f>
        <v>1</v>
      </c>
      <c r="AC11">
        <f t="shared" ref="AC11:AC41" si="2">AB11+$AA$10</f>
        <v>107</v>
      </c>
      <c r="AD11" t="str">
        <f>IF($J$6=3, "V", "I")</f>
        <v>V</v>
      </c>
      <c r="AE11" t="str">
        <f t="shared" ref="AE11:AE41" si="3">IF(AD11="V",$AE$7,$AK$7)</f>
        <v>19CC00</v>
      </c>
      <c r="AH11" s="11" t="str">
        <f t="shared" ref="AH11:AH41" si="4">"DCW["&amp;AC11&amp;"]("&amp;AE11&amp;")"</f>
        <v>DCW[107](19CC00)</v>
      </c>
    </row>
    <row r="12" spans="2:57">
      <c r="AB12">
        <f t="shared" ref="AB12:AB39" si="5">1+AB11</f>
        <v>2</v>
      </c>
      <c r="AC12">
        <f t="shared" si="2"/>
        <v>108</v>
      </c>
      <c r="AD12" t="str">
        <f>IF($K$6=3, "V", "I")</f>
        <v>V</v>
      </c>
      <c r="AE12" t="str">
        <f t="shared" si="3"/>
        <v>19CC00</v>
      </c>
      <c r="AH12" s="11" t="str">
        <f t="shared" si="4"/>
        <v>DCW[108](19CC00)</v>
      </c>
      <c r="AM12" s="14" t="s">
        <v>126</v>
      </c>
      <c r="AY12" t="s">
        <v>100</v>
      </c>
    </row>
    <row r="13" spans="2:57">
      <c r="B13" s="14" t="s">
        <v>83</v>
      </c>
      <c r="C13" s="14" t="s">
        <v>84</v>
      </c>
      <c r="D13" s="14" t="s">
        <v>85</v>
      </c>
      <c r="E13" s="14" t="s">
        <v>87</v>
      </c>
      <c r="F13" s="14" t="s">
        <v>88</v>
      </c>
      <c r="G13" s="14" t="s">
        <v>86</v>
      </c>
      <c r="H13" s="14" t="s">
        <v>89</v>
      </c>
      <c r="AB13">
        <f t="shared" si="5"/>
        <v>3</v>
      </c>
      <c r="AC13">
        <f t="shared" si="2"/>
        <v>109</v>
      </c>
      <c r="AD13" t="str">
        <f>IF($L$6=3, "V", "I")</f>
        <v>I</v>
      </c>
      <c r="AE13" t="str">
        <f t="shared" si="3"/>
        <v>9A523</v>
      </c>
      <c r="AH13" s="11" t="str">
        <f t="shared" si="4"/>
        <v>DCW[109](9A523)</v>
      </c>
      <c r="AM13" s="11" t="str">
        <f>"DCM("&amp;AC10&amp;":"&amp;AE10&amp;";"    &amp;AC11&amp;":"&amp;AE11&amp;";"   &amp;AC12&amp;":"&amp;AE12&amp;";"  &amp;AC13&amp;":"&amp;AE13&amp;";"
&amp;AC14&amp;":"&amp;AE14&amp;";"    &amp;AC15&amp;":"&amp;AE15&amp;";"   &amp;AC16&amp;":"&amp;AE16&amp;";"  &amp;AC17&amp;":"&amp;AE17&amp;";"
&amp;AC18&amp;":"&amp;AE18&amp;";"    &amp;AC19&amp;":"&amp;AE19&amp;";"   &amp;AC20&amp;":"&amp;AE20&amp;";"  &amp;AC21&amp;":"&amp;AE21&amp;";"
&amp;AC22&amp;":"&amp;AE22&amp;";"    &amp;AC23&amp;":"&amp;AE23&amp;";"   &amp;AC24&amp;":"&amp;AE24&amp;";"  &amp;AC25&amp;":"&amp;AE25        &amp;")"</f>
        <v>DCM(106:19CC00;107:19CC00;108:19CC00;109:9A523;110:9A523;111:9A523;112:9A523;113:19CC00;114:9A523;115:19CC00;116:9A523;117:19CC00;118:9A523;119:9A523;120:9A523;121:9A523)</v>
      </c>
      <c r="AY13" t="s">
        <v>104</v>
      </c>
      <c r="AZ13">
        <v>202334585</v>
      </c>
    </row>
    <row r="14" spans="2:57">
      <c r="B14" s="8">
        <v>0</v>
      </c>
      <c r="C14" s="9">
        <v>0</v>
      </c>
      <c r="D14" s="9">
        <v>1</v>
      </c>
      <c r="E14" s="8">
        <v>4</v>
      </c>
      <c r="F14" s="8" t="str">
        <f>DEC2HEX(C14+D14*256)</f>
        <v>100</v>
      </c>
      <c r="G14" s="8" t="str">
        <f t="shared" ref="G14:G44" si="6">"DCW["&amp;E14&amp;"]("&amp;F14&amp;")"</f>
        <v>DCW[4](100)</v>
      </c>
      <c r="H14" s="50" t="b">
        <f>IF(B14=($B$4-1),"DCM("&amp;E14&amp;":"&amp;F14&amp;") """)</f>
        <v>0</v>
      </c>
      <c r="AB14">
        <f t="shared" si="5"/>
        <v>4</v>
      </c>
      <c r="AC14">
        <f t="shared" si="2"/>
        <v>110</v>
      </c>
      <c r="AD14" t="str">
        <f>IF($M$6=3, "V", "I")</f>
        <v>I</v>
      </c>
      <c r="AE14" t="str">
        <f t="shared" si="3"/>
        <v>9A523</v>
      </c>
      <c r="AH14" s="11" t="str">
        <f t="shared" si="4"/>
        <v>DCW[110](9A523)</v>
      </c>
      <c r="AM14" s="14" t="s">
        <v>127</v>
      </c>
      <c r="AN14" s="14"/>
      <c r="AY14" t="s">
        <v>105</v>
      </c>
      <c r="AZ14">
        <v>245986054</v>
      </c>
    </row>
    <row r="15" spans="2:57">
      <c r="B15" s="8">
        <f>1+B14</f>
        <v>1</v>
      </c>
      <c r="C15" s="9">
        <v>0</v>
      </c>
      <c r="D15" s="9">
        <v>2</v>
      </c>
      <c r="E15" s="8">
        <v>4</v>
      </c>
      <c r="F15" s="8" t="str">
        <f>DEC2HEX(C14+D14*256+C15*2^16+D15*2^24)</f>
        <v>2000100</v>
      </c>
      <c r="G15" s="8" t="str">
        <f t="shared" si="6"/>
        <v>DCW[4](2000100)</v>
      </c>
      <c r="H15" s="50" t="b">
        <f>IF(B15=($B$4-1),"DCM("&amp;E15&amp;":"&amp;F15&amp;")")</f>
        <v>0</v>
      </c>
      <c r="AB15">
        <f t="shared" si="5"/>
        <v>5</v>
      </c>
      <c r="AC15">
        <f t="shared" si="2"/>
        <v>111</v>
      </c>
      <c r="AD15" t="str">
        <f>IF($N$6=3, "V", "I")</f>
        <v>I</v>
      </c>
      <c r="AE15" t="str">
        <f t="shared" si="3"/>
        <v>9A523</v>
      </c>
      <c r="AH15" s="11" t="str">
        <f t="shared" si="4"/>
        <v>DCW[111](9A523)</v>
      </c>
      <c r="AM15" s="11" t="str">
        <f>"DCM("&amp;AC10&amp;":"&amp;AE10&amp;";"    &amp;AC11&amp;":"&amp;AE11&amp;";"   &amp;AC12&amp;":"&amp;AE12&amp;";"  &amp;AC13&amp;":"&amp;AE13&amp;";"
&amp;AC14&amp;":"&amp;AE14&amp;";"    &amp;AC15&amp;":"&amp;AE15&amp;";"   &amp;AC16&amp;":"&amp;AE16&amp;";"  &amp;AC17&amp;":"&amp;AE17&amp;";"
&amp;AC18&amp;":"&amp;AE18&amp;";"    &amp;AC19&amp;":"&amp;AE19&amp;";"   &amp;AC20&amp;":"&amp;AE20&amp;";"  &amp;AC21&amp;":"&amp;AE21        &amp;")"</f>
        <v>DCM(106:19CC00;107:19CC00;108:19CC00;109:9A523;110:9A523;111:9A523;112:9A523;113:19CC00;114:9A523;115:19CC00;116:9A523;117:19CC00)</v>
      </c>
    </row>
    <row r="16" spans="2:57">
      <c r="B16" s="8">
        <f t="shared" ref="B16:B44" si="7">1+B15</f>
        <v>2</v>
      </c>
      <c r="C16" s="9">
        <v>0</v>
      </c>
      <c r="D16" s="9">
        <v>3</v>
      </c>
      <c r="E16" s="8">
        <v>5</v>
      </c>
      <c r="F16" s="8" t="str">
        <f>DEC2HEX(C16+D16*256)</f>
        <v>300</v>
      </c>
      <c r="G16" s="8" t="str">
        <f t="shared" si="6"/>
        <v>DCW[5](300)</v>
      </c>
      <c r="H16" s="50" t="b">
        <f>IF(B16=($B$4-1),"DCM("&amp;E15&amp;":"&amp;F15&amp;"; "&amp;E16&amp;":"&amp;F16&amp;")")</f>
        <v>0</v>
      </c>
      <c r="AB16">
        <f t="shared" si="5"/>
        <v>6</v>
      </c>
      <c r="AC16">
        <f t="shared" si="2"/>
        <v>112</v>
      </c>
      <c r="AD16" t="str">
        <f>IF($O$6=3, "V", "I")</f>
        <v>I</v>
      </c>
      <c r="AE16" t="str">
        <f t="shared" si="3"/>
        <v>9A523</v>
      </c>
      <c r="AH16" s="11" t="str">
        <f t="shared" si="4"/>
        <v>DCW[112](9A523)</v>
      </c>
      <c r="AM16" s="14" t="s">
        <v>128</v>
      </c>
    </row>
    <row r="17" spans="2:39">
      <c r="B17" s="8">
        <f t="shared" si="7"/>
        <v>3</v>
      </c>
      <c r="C17" s="9">
        <v>0</v>
      </c>
      <c r="D17" s="9">
        <v>4</v>
      </c>
      <c r="E17" s="8">
        <v>5</v>
      </c>
      <c r="F17" s="8" t="str">
        <f>DEC2HEX(C16+D16*256+C17*2^16+D17*2^24)</f>
        <v>4000300</v>
      </c>
      <c r="G17" s="8" t="str">
        <f t="shared" si="6"/>
        <v>DCW[5](4000300)</v>
      </c>
      <c r="H17" s="50" t="b">
        <f>IF(B17=($B$4-1),"DCM("&amp;E15&amp;":"&amp;F15&amp;"; "&amp;E17&amp;":"&amp;F17&amp;")")</f>
        <v>0</v>
      </c>
      <c r="AB17">
        <f t="shared" si="5"/>
        <v>7</v>
      </c>
      <c r="AC17">
        <f t="shared" si="2"/>
        <v>113</v>
      </c>
      <c r="AD17" t="str">
        <f>IF($P$6=3, "V", "I")</f>
        <v>V</v>
      </c>
      <c r="AE17" t="str">
        <f t="shared" si="3"/>
        <v>19CC00</v>
      </c>
      <c r="AH17" s="11" t="str">
        <f t="shared" si="4"/>
        <v>DCW[113](19CC00)</v>
      </c>
      <c r="AM17" s="11" t="str">
        <f>"DCM("&amp;AC10&amp;":"&amp;AE10&amp;";"    &amp;AC11&amp;":"&amp;AE11&amp;";"   &amp;AC12&amp;":"&amp;AE12&amp;";"  &amp;AC13&amp;":"&amp;AE13&amp;";"
&amp;AC14&amp;":"&amp;AE14&amp;";"    &amp;AC15&amp;":"&amp;AE15&amp;";"   &amp;AC16&amp;":"&amp;AE16&amp;";"  &amp;AC17&amp;":"&amp;AE17 &amp;")"</f>
        <v>DCM(106:19CC00;107:19CC00;108:19CC00;109:9A523;110:9A523;111:9A523;112:9A523;113:19CC00)</v>
      </c>
    </row>
    <row r="18" spans="2:39">
      <c r="B18" s="8">
        <f t="shared" si="7"/>
        <v>4</v>
      </c>
      <c r="C18" s="9">
        <v>0</v>
      </c>
      <c r="D18" s="9">
        <v>5</v>
      </c>
      <c r="E18" s="8">
        <v>6</v>
      </c>
      <c r="F18" s="8" t="str">
        <f>DEC2HEX(C18+D18*256)</f>
        <v>500</v>
      </c>
      <c r="G18" s="8" t="str">
        <f t="shared" si="6"/>
        <v>DCW[6](500)</v>
      </c>
      <c r="H18" s="50" t="b">
        <f>IF(B18=($B$4-1),"DCM("&amp;E15&amp;":"&amp;F15&amp;"; "&amp;E17&amp;":"&amp;F17&amp;"; "&amp;E18&amp;":"&amp;F18&amp;")")</f>
        <v>0</v>
      </c>
      <c r="AB18">
        <f t="shared" si="5"/>
        <v>8</v>
      </c>
      <c r="AC18">
        <f t="shared" si="2"/>
        <v>114</v>
      </c>
      <c r="AD18" t="str">
        <f>IF($Q$6=3, "V", "I")</f>
        <v>I</v>
      </c>
      <c r="AE18" t="str">
        <f t="shared" si="3"/>
        <v>9A523</v>
      </c>
      <c r="AH18" s="11" t="str">
        <f t="shared" si="4"/>
        <v>DCW[114](9A523)</v>
      </c>
    </row>
    <row r="19" spans="2:39">
      <c r="B19" s="8">
        <f t="shared" si="7"/>
        <v>5</v>
      </c>
      <c r="C19" s="9">
        <v>6</v>
      </c>
      <c r="D19" s="9">
        <v>7</v>
      </c>
      <c r="E19" s="8">
        <v>6</v>
      </c>
      <c r="F19" s="8" t="str">
        <f>DEC2HEX(C18+D18*256+C19*2^16+D19*2^24)</f>
        <v>7060500</v>
      </c>
      <c r="G19" s="8" t="str">
        <f t="shared" si="6"/>
        <v>DCW[6](7060500)</v>
      </c>
      <c r="H19" s="50" t="b">
        <f>IF(B19=($B$4-1),"DCM("&amp;E15&amp;":"&amp;F15&amp;"; "&amp;E17&amp;":"&amp;F17&amp;"; "&amp;E19&amp;":"&amp;F19&amp;")")</f>
        <v>0</v>
      </c>
      <c r="AB19">
        <f t="shared" si="5"/>
        <v>9</v>
      </c>
      <c r="AC19">
        <f t="shared" si="2"/>
        <v>115</v>
      </c>
      <c r="AD19" t="str">
        <f>IF($R$6=3, "V", "I")</f>
        <v>V</v>
      </c>
      <c r="AE19" t="str">
        <f t="shared" si="3"/>
        <v>19CC00</v>
      </c>
      <c r="AH19" s="11" t="str">
        <f t="shared" si="4"/>
        <v>DCW[115](19CC00)</v>
      </c>
    </row>
    <row r="20" spans="2:39">
      <c r="B20" s="8">
        <f t="shared" si="7"/>
        <v>6</v>
      </c>
      <c r="C20" s="9">
        <v>6</v>
      </c>
      <c r="D20" s="9">
        <v>8</v>
      </c>
      <c r="E20" s="8">
        <v>7</v>
      </c>
      <c r="F20" s="8" t="str">
        <f>DEC2HEX(C20+D20*256)</f>
        <v>806</v>
      </c>
      <c r="G20" s="8" t="str">
        <f t="shared" si="6"/>
        <v>DCW[7](806)</v>
      </c>
      <c r="H20" s="50" t="b">
        <f>IF(B20=($B$4-1),"DCM("&amp;E15&amp;":"&amp;F15&amp;"; "&amp;E17&amp;":"&amp;F17&amp;"; "&amp;E19&amp;":"&amp;F19&amp;"; "&amp;E20&amp;":"&amp;F20&amp;")")</f>
        <v>0</v>
      </c>
      <c r="AB20">
        <f t="shared" si="5"/>
        <v>10</v>
      </c>
      <c r="AC20">
        <f t="shared" si="2"/>
        <v>116</v>
      </c>
      <c r="AD20" t="str">
        <f>IF($S$6=3, "V", "I")</f>
        <v>I</v>
      </c>
      <c r="AE20" t="str">
        <f t="shared" si="3"/>
        <v>9A523</v>
      </c>
      <c r="AH20" s="11" t="str">
        <f t="shared" si="4"/>
        <v>DCW[116](9A523)</v>
      </c>
    </row>
    <row r="21" spans="2:39">
      <c r="B21" s="8">
        <f t="shared" si="7"/>
        <v>7</v>
      </c>
      <c r="C21" s="9">
        <v>6</v>
      </c>
      <c r="D21" s="9">
        <v>9</v>
      </c>
      <c r="E21" s="8">
        <v>7</v>
      </c>
      <c r="F21" s="8" t="str">
        <f>DEC2HEX(C20+D20*256+C21*2^16+D21*2^24)</f>
        <v>9060806</v>
      </c>
      <c r="G21" s="8" t="str">
        <f t="shared" si="6"/>
        <v>DCW[7](9060806)</v>
      </c>
      <c r="H21" s="50" t="b">
        <f>IF(B21=($B$4-1),"DCM("&amp;E15&amp;":"&amp;F15&amp;"; "&amp;E17&amp;":"&amp;F17&amp;"; "&amp;E19&amp;":"&amp;F19&amp;";"&amp;E21&amp;":"&amp;F21&amp;")")</f>
        <v>0</v>
      </c>
      <c r="AB21">
        <f t="shared" si="5"/>
        <v>11</v>
      </c>
      <c r="AC21">
        <f t="shared" si="2"/>
        <v>117</v>
      </c>
      <c r="AD21" t="str">
        <f>IF($T$6=3, "V", "I")</f>
        <v>V</v>
      </c>
      <c r="AE21" t="str">
        <f t="shared" si="3"/>
        <v>19CC00</v>
      </c>
      <c r="AH21" s="11" t="str">
        <f t="shared" si="4"/>
        <v>DCW[117](19CC00)</v>
      </c>
    </row>
    <row r="22" spans="2:39">
      <c r="B22" s="8">
        <f t="shared" si="7"/>
        <v>8</v>
      </c>
      <c r="C22" s="9">
        <v>6</v>
      </c>
      <c r="D22" s="9">
        <v>10</v>
      </c>
      <c r="E22" s="8">
        <v>8</v>
      </c>
      <c r="F22" s="8" t="str">
        <f>DEC2HEX(C22+D22*256)</f>
        <v>A06</v>
      </c>
      <c r="G22" s="8" t="str">
        <f t="shared" si="6"/>
        <v>DCW[8](A06)</v>
      </c>
      <c r="H22" s="50" t="str">
        <f>IF(B22=($B$4-1),"DCM("&amp;E15&amp;":"&amp;F15&amp;"; "&amp;E17&amp;":"&amp;F17&amp;"; "&amp;E19&amp;":"&amp;F19&amp;"; "&amp;E21&amp;":"&amp;F21&amp;"; "&amp;E22&amp;":"&amp;F22&amp;")")</f>
        <v>DCM(4:2000100; 5:4000300; 6:7060500; 7:9060806; 8:A06)</v>
      </c>
      <c r="AB22">
        <f t="shared" si="5"/>
        <v>12</v>
      </c>
      <c r="AC22">
        <f t="shared" si="2"/>
        <v>118</v>
      </c>
      <c r="AD22" t="str">
        <f>IF($U$6=3, "V", "I")</f>
        <v>I</v>
      </c>
      <c r="AE22" t="str">
        <f t="shared" si="3"/>
        <v>9A523</v>
      </c>
      <c r="AH22" s="11" t="str">
        <f t="shared" si="4"/>
        <v>DCW[118](9A523)</v>
      </c>
    </row>
    <row r="23" spans="2:39">
      <c r="B23" s="8">
        <f t="shared" si="7"/>
        <v>9</v>
      </c>
      <c r="C23" s="9">
        <v>11</v>
      </c>
      <c r="D23" s="9">
        <v>12</v>
      </c>
      <c r="E23" s="8">
        <v>8</v>
      </c>
      <c r="F23" s="8" t="str">
        <f>DEC2HEX(C22+D22*256+C23*2^16+D23*2^24)</f>
        <v>C0B0A06</v>
      </c>
      <c r="G23" s="8" t="str">
        <f t="shared" si="6"/>
        <v>DCW[8](C0B0A06)</v>
      </c>
      <c r="H23" s="50" t="b">
        <f>IF(B23=($B$4-1),"DCM("&amp;E15&amp;":"&amp;F15&amp;"; "&amp;E17&amp;":"&amp;F17&amp;"; "&amp;E19&amp;":"&amp;F19&amp;"; "&amp;E21&amp;":"&amp;F21&amp;"; "&amp;E23&amp;":"&amp;F23&amp;")")</f>
        <v>0</v>
      </c>
      <c r="AB23">
        <f t="shared" si="5"/>
        <v>13</v>
      </c>
      <c r="AC23">
        <f t="shared" si="2"/>
        <v>119</v>
      </c>
      <c r="AD23" t="str">
        <f>IF($V$6=3, "V", "I")</f>
        <v>I</v>
      </c>
      <c r="AE23" t="str">
        <f t="shared" si="3"/>
        <v>9A523</v>
      </c>
      <c r="AH23" s="11" t="str">
        <f t="shared" si="4"/>
        <v>DCW[119](9A523)</v>
      </c>
    </row>
    <row r="24" spans="2:39">
      <c r="B24" s="8">
        <f t="shared" si="7"/>
        <v>10</v>
      </c>
      <c r="C24" s="9">
        <v>11</v>
      </c>
      <c r="D24" s="9">
        <v>13</v>
      </c>
      <c r="E24" s="8">
        <v>9</v>
      </c>
      <c r="F24" s="8" t="str">
        <f>DEC2HEX(C24+D24*256)</f>
        <v>D0B</v>
      </c>
      <c r="G24" s="8" t="str">
        <f t="shared" si="6"/>
        <v>DCW[9](D0B)</v>
      </c>
      <c r="H24" s="50" t="b">
        <f>IF(B24=($B$4-1),"DCM("&amp;E15&amp;":"&amp;F15&amp;"; "&amp;E17&amp;":"&amp;F17&amp;"; "&amp;E19&amp;":"&amp;F19&amp;"; "&amp;E21&amp;":"&amp;F21&amp;"; "&amp;E23&amp;":"&amp;F23&amp;"; "&amp;E24&amp;":"&amp;F24&amp;")")</f>
        <v>0</v>
      </c>
      <c r="AB24">
        <f t="shared" si="5"/>
        <v>14</v>
      </c>
      <c r="AC24">
        <f t="shared" si="2"/>
        <v>120</v>
      </c>
      <c r="AD24" t="str">
        <f>IF($W$6=3, "V", "I")</f>
        <v>I</v>
      </c>
      <c r="AE24" t="str">
        <f t="shared" si="3"/>
        <v>9A523</v>
      </c>
      <c r="AH24" s="11" t="str">
        <f t="shared" si="4"/>
        <v>DCW[120](9A523)</v>
      </c>
    </row>
    <row r="25" spans="2:39">
      <c r="B25" s="8">
        <f t="shared" si="7"/>
        <v>11</v>
      </c>
      <c r="C25" s="9">
        <v>11</v>
      </c>
      <c r="D25" s="9">
        <v>14</v>
      </c>
      <c r="E25" s="8">
        <v>9</v>
      </c>
      <c r="F25" s="8" t="str">
        <f>DEC2HEX(C24+D24*256+C25*2^16+D25*2^24)</f>
        <v>E0B0D0B</v>
      </c>
      <c r="G25" s="8" t="str">
        <f t="shared" si="6"/>
        <v>DCW[9](E0B0D0B)</v>
      </c>
      <c r="H25" s="50" t="b">
        <f>IF(B25=($B$4-1),"DCM("&amp;E15&amp;":"&amp;F15&amp;"; "&amp;E17&amp;":"&amp;F17&amp;"; "&amp;E19&amp;":"&amp;F19&amp;"; "&amp;E21&amp;":"&amp;F21&amp;"; "&amp;E23&amp;":"&amp;F23&amp;"; "&amp;E25&amp;":"&amp;F25&amp;")")</f>
        <v>0</v>
      </c>
      <c r="AB25">
        <f t="shared" si="5"/>
        <v>15</v>
      </c>
      <c r="AC25">
        <f t="shared" si="2"/>
        <v>121</v>
      </c>
      <c r="AD25" t="str">
        <f>IF($X$6=3, "V", "I")</f>
        <v>I</v>
      </c>
      <c r="AE25" t="str">
        <f t="shared" si="3"/>
        <v>9A523</v>
      </c>
      <c r="AH25" s="11" t="str">
        <f t="shared" si="4"/>
        <v>DCW[121](9A523)</v>
      </c>
    </row>
    <row r="26" spans="2:39">
      <c r="B26" s="8">
        <f t="shared" si="7"/>
        <v>12</v>
      </c>
      <c r="C26" s="9">
        <v>11</v>
      </c>
      <c r="D26" s="9">
        <v>15</v>
      </c>
      <c r="E26" s="8">
        <v>10</v>
      </c>
      <c r="F26" s="8" t="str">
        <f>DEC2HEX(C26+D26*256)</f>
        <v>F0B</v>
      </c>
      <c r="G26" s="8" t="str">
        <f t="shared" si="6"/>
        <v>DCW[10](F0B)</v>
      </c>
      <c r="H26" s="50" t="b">
        <f>IF(B26=($B$4-1),"DCM("&amp;E15&amp;":"&amp;F15&amp;"; "&amp;E17&amp;":"&amp;F17&amp;"; "&amp;E19&amp;":"&amp;F19&amp;"; "&amp;E21&amp;":"&amp;F21&amp;"; "&amp;E23&amp;":"&amp;F23&amp;"; "&amp;E25&amp;":"&amp;F25&amp;"; "&amp;E26&amp;":"&amp;F26&amp;")")</f>
        <v>0</v>
      </c>
      <c r="AB26">
        <f t="shared" si="5"/>
        <v>16</v>
      </c>
      <c r="AC26">
        <f t="shared" si="2"/>
        <v>122</v>
      </c>
      <c r="AD26" t="str">
        <f>IF($Y$6=3, "V", "I")</f>
        <v>I</v>
      </c>
      <c r="AE26" t="str">
        <f t="shared" si="3"/>
        <v>9A523</v>
      </c>
      <c r="AH26" s="11" t="str">
        <f t="shared" si="4"/>
        <v>DCW[122](9A523)</v>
      </c>
    </row>
    <row r="27" spans="2:39">
      <c r="B27" s="8">
        <f t="shared" si="7"/>
        <v>13</v>
      </c>
      <c r="C27" s="9">
        <v>0</v>
      </c>
      <c r="D27" s="9">
        <v>0</v>
      </c>
      <c r="E27" s="8">
        <v>10</v>
      </c>
      <c r="F27" s="8" t="str">
        <f>DEC2HEX(C26+D26*256+C27*2^16+D27*2^24)</f>
        <v>F0B</v>
      </c>
      <c r="G27" s="8" t="str">
        <f t="shared" si="6"/>
        <v>DCW[10](F0B)</v>
      </c>
      <c r="H27" s="50" t="b">
        <f>IF(B27=($B$4-1),"DCM("&amp;E15&amp;":"&amp;F15&amp;"; "&amp;E17&amp;":"&amp;F17&amp;"; "&amp;E19&amp;":"&amp;F19&amp;"; "&amp;E21&amp;":"&amp;F21&amp;"; "&amp;E23&amp;":"&amp;F23&amp;"; "&amp;E25&amp;":"&amp;F25&amp;"; "&amp;E27&amp;":"&amp;F27&amp;")")</f>
        <v>0</v>
      </c>
      <c r="AB27">
        <f t="shared" si="5"/>
        <v>17</v>
      </c>
      <c r="AC27">
        <f t="shared" si="2"/>
        <v>123</v>
      </c>
      <c r="AD27" t="str">
        <f>IF($Z$6=3, "V", "I")</f>
        <v>I</v>
      </c>
      <c r="AE27" t="str">
        <f t="shared" si="3"/>
        <v>9A523</v>
      </c>
      <c r="AH27" s="11" t="str">
        <f t="shared" si="4"/>
        <v>DCW[123](9A523)</v>
      </c>
    </row>
    <row r="28" spans="2:39">
      <c r="B28" s="8">
        <f t="shared" si="7"/>
        <v>14</v>
      </c>
      <c r="C28" s="9">
        <v>5</v>
      </c>
      <c r="D28" s="9">
        <v>15</v>
      </c>
      <c r="E28" s="8">
        <v>11</v>
      </c>
      <c r="F28" s="8" t="str">
        <f>DEC2HEX(C28+D28*256)</f>
        <v>F05</v>
      </c>
      <c r="G28" s="8" t="str">
        <f t="shared" si="6"/>
        <v>DCW[11](F05)</v>
      </c>
      <c r="H28" s="50" t="b">
        <f>IF(B28=($B$4-1),"DCM("&amp;E15&amp;":"&amp;F15&amp;"; "&amp;E17&amp;":"&amp;F17&amp;"; "&amp;E19&amp;":"&amp;F19&amp;"; "&amp;E21&amp;":"&amp;F21&amp;"; "&amp;E23&amp;":"&amp;F23&amp;"; "&amp;E25&amp;":"&amp;F25&amp;"; "&amp;E27&amp;":"&amp;F27&amp;"; "&amp;E28&amp;":"&amp;F28&amp;")")</f>
        <v>0</v>
      </c>
      <c r="AB28">
        <f t="shared" si="5"/>
        <v>18</v>
      </c>
      <c r="AC28">
        <f t="shared" si="2"/>
        <v>124</v>
      </c>
      <c r="AD28" t="str">
        <f>IF($AA$6=3, "V", "I")</f>
        <v>I</v>
      </c>
      <c r="AE28" t="str">
        <f t="shared" si="3"/>
        <v>9A523</v>
      </c>
      <c r="AH28" s="11" t="str">
        <f t="shared" si="4"/>
        <v>DCW[124](9A523)</v>
      </c>
    </row>
    <row r="29" spans="2:39">
      <c r="B29" s="8">
        <f t="shared" si="7"/>
        <v>15</v>
      </c>
      <c r="C29" s="9">
        <v>5</v>
      </c>
      <c r="D29" s="9">
        <v>16</v>
      </c>
      <c r="E29" s="8">
        <v>11</v>
      </c>
      <c r="F29" s="8" t="str">
        <f>DEC2HEX(C28+D28*256+C29*2^16+D29*2^24)</f>
        <v>10050F05</v>
      </c>
      <c r="G29" s="8" t="str">
        <f t="shared" si="6"/>
        <v>DCW[11](10050F05)</v>
      </c>
      <c r="H29" s="50" t="b">
        <f>IF(B29=($B$4-1),"DCM("&amp;E15&amp;":"&amp;F15&amp;"; "&amp;E17&amp;":"&amp;F17&amp;"; "&amp;E19&amp;":"&amp;F19&amp;"; "&amp;E21&amp;":"&amp;F21&amp;"; "&amp;E23&amp;":"&amp;F23&amp;"; "&amp;E25&amp;":"&amp;F25&amp;"; "&amp;E27&amp;":"&amp;F27&amp;"; "&amp;E29&amp;":"&amp;F29&amp;")")</f>
        <v>0</v>
      </c>
      <c r="AB29">
        <f t="shared" si="5"/>
        <v>19</v>
      </c>
      <c r="AC29">
        <f t="shared" si="2"/>
        <v>125</v>
      </c>
      <c r="AD29" t="str">
        <f>IF($AB$6=3, "V", "I")</f>
        <v>I</v>
      </c>
      <c r="AE29" t="str">
        <f t="shared" si="3"/>
        <v>9A523</v>
      </c>
      <c r="AH29" s="11" t="str">
        <f t="shared" si="4"/>
        <v>DCW[125](9A523)</v>
      </c>
    </row>
    <row r="30" spans="2:39">
      <c r="B30" s="8">
        <f t="shared" si="7"/>
        <v>16</v>
      </c>
      <c r="C30" s="9">
        <v>5</v>
      </c>
      <c r="D30" s="9">
        <v>17</v>
      </c>
      <c r="E30" s="8">
        <v>12</v>
      </c>
      <c r="F30" s="8" t="str">
        <f>DEC2HEX(C30+D30*256)</f>
        <v>1105</v>
      </c>
      <c r="G30" s="8" t="str">
        <f t="shared" si="6"/>
        <v>DCW[12](1105)</v>
      </c>
      <c r="H30" s="50" t="b">
        <f>IF(B30=($B$4-1),"DCM("&amp;E15&amp;":"&amp;F15&amp;"; "&amp;E17&amp;":"&amp;F17&amp;"; "&amp;E19&amp;":"&amp;F19&amp;";"&amp;E21&amp;":"&amp;F21&amp;"; "&amp;E23&amp;":"&amp;F23&amp;"; "&amp;E25&amp;":"&amp;F25&amp;"; "&amp;E27&amp;":"&amp;F27&amp;"; "&amp;E29&amp;":"&amp;F29&amp;"; "&amp;E30&amp;":"&amp;F30&amp;")")</f>
        <v>0</v>
      </c>
      <c r="AB30">
        <f t="shared" si="5"/>
        <v>20</v>
      </c>
      <c r="AC30">
        <f t="shared" si="2"/>
        <v>126</v>
      </c>
      <c r="AD30" t="str">
        <f>IF($AC$6=3, "V", "I")</f>
        <v>I</v>
      </c>
      <c r="AE30" t="str">
        <f t="shared" si="3"/>
        <v>9A523</v>
      </c>
      <c r="AH30" s="11" t="str">
        <f t="shared" si="4"/>
        <v>DCW[126](9A523)</v>
      </c>
    </row>
    <row r="31" spans="2:39">
      <c r="B31" s="8">
        <f t="shared" si="7"/>
        <v>17</v>
      </c>
      <c r="C31" s="9">
        <v>11</v>
      </c>
      <c r="D31" s="9">
        <v>18</v>
      </c>
      <c r="E31" s="8">
        <v>12</v>
      </c>
      <c r="F31" s="8" t="str">
        <f>DEC2HEX(C30+D30*256+C31*2^16+D31*2^24)</f>
        <v>120B1105</v>
      </c>
      <c r="G31" s="8" t="str">
        <f t="shared" si="6"/>
        <v>DCW[12](120B1105)</v>
      </c>
      <c r="H31" s="50" t="b">
        <f>IF(B11=($B$4-1),"DCM("&amp;E15&amp;":"&amp;F15&amp;"; "&amp;E17&amp;":"&amp;F17&amp;"; "&amp;E19&amp;":"&amp;F19&amp;"; "&amp;E21&amp;":"&amp;F21&amp;"; "&amp;E23&amp;":"&amp;F23&amp;"; "&amp;E25&amp;":"&amp;F25&amp;"; "&amp;E27&amp;":"&amp;F27&amp;"; "&amp;E29&amp;":"&amp;F29&amp;"; "&amp;E31&amp;":"&amp;F31&amp;")")</f>
        <v>0</v>
      </c>
      <c r="AB31">
        <f t="shared" si="5"/>
        <v>21</v>
      </c>
      <c r="AC31">
        <f t="shared" si="2"/>
        <v>127</v>
      </c>
      <c r="AD31" t="str">
        <f>IF($AD$6=3, "V", "I")</f>
        <v>I</v>
      </c>
      <c r="AE31" t="str">
        <f t="shared" si="3"/>
        <v>9A523</v>
      </c>
      <c r="AH31" s="11" t="str">
        <f t="shared" si="4"/>
        <v>DCW[127](9A523)</v>
      </c>
    </row>
    <row r="32" spans="2:39">
      <c r="B32" s="8">
        <f t="shared" si="7"/>
        <v>18</v>
      </c>
      <c r="C32" s="9">
        <v>11</v>
      </c>
      <c r="D32" s="9">
        <v>19</v>
      </c>
      <c r="E32" s="8">
        <v>13</v>
      </c>
      <c r="F32" s="8" t="str">
        <f>DEC2HEX(C32+D32*256)</f>
        <v>130B</v>
      </c>
      <c r="G32" s="8" t="str">
        <f t="shared" si="6"/>
        <v>DCW[13](130B)</v>
      </c>
      <c r="H32" s="50" t="b">
        <f>IF(B32=($B$4-1),"DCM("&amp;E15&amp;":"&amp;F15&amp;"; "&amp;E17&amp;":"&amp;F17&amp;"; "&amp;E19&amp;":"&amp;F19&amp;"; "&amp;E21&amp;":"&amp;F21&amp;"; "&amp;E23&amp;":"&amp;F23&amp;"; "&amp;E25&amp;":"&amp;F25&amp;"; "&amp;E27&amp;":"&amp;F27&amp;"; "&amp;E29&amp;":"&amp;F29&amp;"; "&amp;E31&amp;":"&amp;F31&amp;"; "&amp;E32&amp;":"&amp;F32&amp;")")</f>
        <v>0</v>
      </c>
      <c r="AB32">
        <f t="shared" si="5"/>
        <v>22</v>
      </c>
      <c r="AC32">
        <f t="shared" si="2"/>
        <v>128</v>
      </c>
      <c r="AD32" t="str">
        <f>IF($AE$6=3, "V", "I")</f>
        <v>I</v>
      </c>
      <c r="AE32" t="str">
        <f t="shared" si="3"/>
        <v>9A523</v>
      </c>
      <c r="AH32" s="11" t="str">
        <f t="shared" si="4"/>
        <v>DCW[128](9A523)</v>
      </c>
    </row>
    <row r="33" spans="2:34">
      <c r="B33" s="8">
        <f t="shared" si="7"/>
        <v>19</v>
      </c>
      <c r="C33" s="9">
        <v>11</v>
      </c>
      <c r="D33" s="9">
        <v>20</v>
      </c>
      <c r="E33" s="8">
        <v>13</v>
      </c>
      <c r="F33" s="8" t="str">
        <f>DEC2HEX(C32+D32*256+C33*2^16+D33*2^24)</f>
        <v>140B130B</v>
      </c>
      <c r="G33" s="8" t="str">
        <f t="shared" si="6"/>
        <v>DCW[13](140B130B)</v>
      </c>
      <c r="H33" s="50" t="b">
        <f>IF(B33=($B$4-1),"DCM("&amp;E15&amp;":"&amp;F15&amp;"; "&amp;E17&amp;":"&amp;F17&amp;"; "&amp;E19&amp;":"&amp;F19&amp;"; "&amp;E21&amp;":"&amp;F21&amp;"; "&amp;E23&amp;":"&amp;F23&amp;"; "&amp;E25&amp;":"&amp;F25&amp;"; "&amp;E27&amp;":"&amp;F27&amp;"; "&amp;E29&amp;":"&amp;F29&amp;"; "&amp;E31&amp;":"&amp;F31&amp;"; "&amp;E33&amp;":"&amp;F33&amp;")")</f>
        <v>0</v>
      </c>
      <c r="AB33">
        <f t="shared" si="5"/>
        <v>23</v>
      </c>
      <c r="AC33">
        <f t="shared" si="2"/>
        <v>129</v>
      </c>
      <c r="AD33" t="str">
        <f>IF($AF$6=3, "V", "I")</f>
        <v>I</v>
      </c>
      <c r="AE33" t="str">
        <f t="shared" si="3"/>
        <v>9A523</v>
      </c>
      <c r="AH33" s="11" t="str">
        <f t="shared" si="4"/>
        <v>DCW[129](9A523)</v>
      </c>
    </row>
    <row r="34" spans="2:34">
      <c r="B34" s="8">
        <f t="shared" si="7"/>
        <v>20</v>
      </c>
      <c r="C34" s="9">
        <v>11</v>
      </c>
      <c r="D34" s="9">
        <v>21</v>
      </c>
      <c r="E34" s="8">
        <v>14</v>
      </c>
      <c r="F34" s="8" t="str">
        <f>DEC2HEX(C34+D34*256)</f>
        <v>150B</v>
      </c>
      <c r="G34" s="8" t="str">
        <f t="shared" si="6"/>
        <v>DCW[14](150B)</v>
      </c>
      <c r="H34" s="50" t="b">
        <f>IF(B34=($B$4-1),"DCM("&amp;E15&amp;":"&amp;F15&amp;"; "&amp;E17&amp;":"&amp;F17&amp;"; "&amp;E19&amp;":"&amp;F19&amp;"; "&amp;E21&amp;":"&amp;F21&amp;"; "&amp;E23&amp;":"&amp;F23&amp;"; "&amp;E25&amp;":"&amp;F25&amp;"; "&amp;E27&amp;":"&amp;F27&amp;"; "&amp;E29&amp;":"&amp;F29&amp;"; "&amp;E31&amp;":"&amp;F31&amp;"; "&amp;E33&amp;":"&amp;F33&amp;"; "&amp;E34&amp;":"&amp;F34&amp;")")</f>
        <v>0</v>
      </c>
      <c r="AB34">
        <f t="shared" si="5"/>
        <v>24</v>
      </c>
      <c r="AC34">
        <f t="shared" si="2"/>
        <v>130</v>
      </c>
      <c r="AD34" t="str">
        <f>IF($AG$6=3, "V", "I")</f>
        <v>I</v>
      </c>
      <c r="AE34" t="str">
        <f t="shared" si="3"/>
        <v>9A523</v>
      </c>
      <c r="AH34" s="11" t="str">
        <f t="shared" si="4"/>
        <v>DCW[130](9A523)</v>
      </c>
    </row>
    <row r="35" spans="2:34">
      <c r="B35" s="8">
        <f t="shared" si="7"/>
        <v>21</v>
      </c>
      <c r="C35" s="9">
        <v>11</v>
      </c>
      <c r="D35" s="9">
        <v>22</v>
      </c>
      <c r="E35" s="8">
        <v>14</v>
      </c>
      <c r="F35" s="8" t="str">
        <f>DEC2HEX(C34+D34*256+C35*2^16+D35*2^24)</f>
        <v>160B150B</v>
      </c>
      <c r="G35" s="8" t="str">
        <f t="shared" si="6"/>
        <v>DCW[14](160B150B)</v>
      </c>
      <c r="H35" s="50" t="b">
        <f>IF(B35=($B$4-1),"DCM("&amp;E15&amp;":"&amp;F15&amp;"; "&amp;E17&amp;":"&amp;F17&amp;"; "&amp;E19&amp;":"&amp;F19&amp;"; "&amp;E21&amp;":"&amp;F21&amp;"; "&amp;E23&amp;":"&amp;F23&amp;"; "&amp;E25&amp;":"&amp;F25&amp;"; "&amp;E27&amp;":"&amp;F27&amp;"; "&amp;E29&amp;":"&amp;F29&amp;"; "&amp;E31&amp;":"&amp;F31&amp;"; "&amp;E33&amp;":"&amp;F33&amp;"; "&amp;E35&amp;":"&amp;F35&amp;")")</f>
        <v>0</v>
      </c>
      <c r="AB35">
        <f t="shared" si="5"/>
        <v>25</v>
      </c>
      <c r="AC35">
        <f t="shared" si="2"/>
        <v>131</v>
      </c>
      <c r="AD35" t="str">
        <f>IF($AH$6=3, "V", "I")</f>
        <v>I</v>
      </c>
      <c r="AE35" t="str">
        <f t="shared" si="3"/>
        <v>9A523</v>
      </c>
      <c r="AH35" s="11" t="str">
        <f t="shared" si="4"/>
        <v>DCW[131](9A523)</v>
      </c>
    </row>
    <row r="36" spans="2:34">
      <c r="B36" s="8">
        <f t="shared" si="7"/>
        <v>22</v>
      </c>
      <c r="C36" s="9">
        <v>11</v>
      </c>
      <c r="D36" s="9">
        <v>23</v>
      </c>
      <c r="E36" s="8">
        <v>15</v>
      </c>
      <c r="F36" s="8" t="str">
        <f>DEC2HEX(C36+D36*256)</f>
        <v>170B</v>
      </c>
      <c r="G36" s="8" t="str">
        <f t="shared" si="6"/>
        <v>DCW[15](170B)</v>
      </c>
      <c r="H36" s="50" t="b">
        <f>IF(B36=($B$4-1),"DCM("&amp;E15&amp;":"&amp;F15&amp;"; "&amp;E17&amp;":"&amp;F17&amp;"; "&amp;E19&amp;":"&amp;F19&amp;"; "&amp;E21&amp;":"&amp;F21&amp;"; "&amp;E23&amp;":"&amp;F23&amp;"; "&amp;E25&amp;":"&amp;F25&amp;"; "&amp;E27&amp;":"&amp;F27&amp;"; "&amp;E29&amp;":"&amp;F29&amp;"; "&amp;E31&amp;":"&amp;F31&amp;"; "&amp;E33&amp;":"&amp;F33&amp;"; "&amp;E35&amp;":"&amp;F35&amp;"; "&amp;E36&amp;":"&amp;F36&amp;")")</f>
        <v>0</v>
      </c>
      <c r="AB36">
        <f t="shared" si="5"/>
        <v>26</v>
      </c>
      <c r="AC36">
        <f t="shared" si="2"/>
        <v>132</v>
      </c>
      <c r="AD36" t="str">
        <f>IF($AI$6=3, "V", "I")</f>
        <v>I</v>
      </c>
      <c r="AE36" t="str">
        <f t="shared" si="3"/>
        <v>9A523</v>
      </c>
      <c r="AH36" s="11" t="str">
        <f t="shared" si="4"/>
        <v>DCW[132](9A523)</v>
      </c>
    </row>
    <row r="37" spans="2:34">
      <c r="B37" s="8">
        <f t="shared" si="7"/>
        <v>23</v>
      </c>
      <c r="C37" s="9">
        <v>11</v>
      </c>
      <c r="D37" s="9">
        <v>24</v>
      </c>
      <c r="E37" s="8">
        <v>15</v>
      </c>
      <c r="F37" s="8" t="str">
        <f>DEC2HEX(C36+D36*256+C37*2^16+D37*2^24)</f>
        <v>180B170B</v>
      </c>
      <c r="G37" s="8" t="str">
        <f t="shared" si="6"/>
        <v>DCW[15](180B170B)</v>
      </c>
      <c r="H37" s="50" t="b">
        <f>IF(B37=($B$4-1),"DCM("&amp;E15&amp;":"&amp;F15&amp;"; "&amp;E17&amp;":"&amp;F17&amp;"; "&amp;E19&amp;":"&amp;F19&amp;"; "&amp;E21&amp;":"&amp;F21&amp;"; "&amp;E23&amp;":"&amp;F23&amp;"; "&amp;E25&amp;":"&amp;F25&amp;"; "&amp;E27&amp;":"&amp;F27&amp;"; "&amp;E29&amp;":"&amp;F29&amp;"; "&amp;E31&amp;":"&amp;F31&amp;"; "&amp;E33&amp;":"&amp;F33&amp;"; "&amp;E35&amp;":"&amp;F35&amp;"; "&amp;E37&amp;":"&amp;F37&amp;")")</f>
        <v>0</v>
      </c>
      <c r="AB37">
        <f t="shared" si="5"/>
        <v>27</v>
      </c>
      <c r="AC37">
        <f t="shared" si="2"/>
        <v>133</v>
      </c>
      <c r="AD37" t="str">
        <f>IF($AJ$6=3, "V", "I")</f>
        <v>I</v>
      </c>
      <c r="AE37" t="str">
        <f t="shared" si="3"/>
        <v>9A523</v>
      </c>
      <c r="AH37" s="11" t="str">
        <f t="shared" si="4"/>
        <v>DCW[133](9A523)</v>
      </c>
    </row>
    <row r="38" spans="2:34">
      <c r="B38" s="8">
        <f t="shared" si="7"/>
        <v>24</v>
      </c>
      <c r="C38" s="9">
        <v>11</v>
      </c>
      <c r="D38" s="9">
        <v>25</v>
      </c>
      <c r="E38" s="8">
        <v>16</v>
      </c>
      <c r="F38" s="8" t="str">
        <f>DEC2HEX(C38+D38*256)</f>
        <v>190B</v>
      </c>
      <c r="G38" s="8" t="str">
        <f t="shared" si="6"/>
        <v>DCW[16](190B)</v>
      </c>
      <c r="H38" s="50" t="b">
        <f>IF(B38=($B$4-1),"DCM("&amp;E15&amp;":"&amp;F15&amp;"; "&amp;E17&amp;":"&amp;F17&amp;"; "&amp;E19&amp;":"&amp;F19&amp;"; "&amp;E21&amp;":"&amp;F21&amp;"; "&amp;E23&amp;":"&amp;F23&amp;"; "&amp;E25&amp;":"&amp;F25&amp;"; "&amp;E27&amp;":"&amp;F27&amp;"; "&amp;E29&amp;":"&amp;F29&amp;"; "&amp;E31&amp;":"&amp;F31&amp;"; "&amp;E33&amp;":"&amp;F33&amp;"; "&amp;E35&amp;":"&amp;F35&amp;"; "&amp;E37&amp;":"&amp;F37&amp;"; "&amp;E38&amp;":"&amp;F38&amp;")")</f>
        <v>0</v>
      </c>
      <c r="AB38">
        <f t="shared" si="5"/>
        <v>28</v>
      </c>
      <c r="AC38">
        <f t="shared" si="2"/>
        <v>134</v>
      </c>
      <c r="AD38" t="str">
        <f>IF($AK$6=3, "V", "I")</f>
        <v>I</v>
      </c>
      <c r="AE38" t="str">
        <f t="shared" si="3"/>
        <v>9A523</v>
      </c>
      <c r="AH38" s="11" t="str">
        <f t="shared" si="4"/>
        <v>DCW[134](9A523)</v>
      </c>
    </row>
    <row r="39" spans="2:34">
      <c r="B39" s="8">
        <f t="shared" si="7"/>
        <v>25</v>
      </c>
      <c r="C39" s="9">
        <v>11</v>
      </c>
      <c r="D39" s="9">
        <v>26</v>
      </c>
      <c r="E39" s="8">
        <v>16</v>
      </c>
      <c r="F39" s="8" t="str">
        <f>DEC2HEX(C38+D38*256+C39*2^16+D39*2^24)</f>
        <v>1A0B190B</v>
      </c>
      <c r="G39" s="8" t="str">
        <f t="shared" si="6"/>
        <v>DCW[16](1A0B190B)</v>
      </c>
      <c r="H39" s="50" t="b">
        <f>IF(B39=($B$4-1),"DCM("&amp;E15&amp;":"&amp;F15&amp;"; "&amp;E17&amp;":"&amp;F17&amp;"; "&amp;E19&amp;":"&amp;F19&amp;"; "&amp;E21&amp;":"&amp;F21&amp;"; "&amp;E23&amp;":"&amp;F23&amp;"; "&amp;E25&amp;":"&amp;F25&amp;"; "&amp;E27&amp;":"&amp;F27&amp;"; "&amp;E29&amp;":"&amp;F29&amp;"; "&amp;E31&amp;":"&amp;F31&amp;"; "&amp;E33&amp;":"&amp;F33&amp;"; "&amp;E35&amp;":"&amp;F35&amp;"; "&amp;E37&amp;":"&amp;F37&amp;"; "&amp;E39&amp;":"&amp;F39&amp;")")</f>
        <v>0</v>
      </c>
      <c r="AB39">
        <f t="shared" si="5"/>
        <v>29</v>
      </c>
      <c r="AC39">
        <f t="shared" si="2"/>
        <v>135</v>
      </c>
      <c r="AD39" t="str">
        <f>IF($AL$6=3, "V", "I")</f>
        <v>I</v>
      </c>
      <c r="AE39" t="str">
        <f t="shared" si="3"/>
        <v>9A523</v>
      </c>
      <c r="AH39" s="11" t="str">
        <f t="shared" si="4"/>
        <v>DCW[135](9A523)</v>
      </c>
    </row>
    <row r="40" spans="2:34">
      <c r="B40" s="8">
        <f t="shared" si="7"/>
        <v>26</v>
      </c>
      <c r="C40" s="9">
        <v>11</v>
      </c>
      <c r="D40" s="9">
        <v>27</v>
      </c>
      <c r="E40" s="8">
        <v>17</v>
      </c>
      <c r="F40" s="8" t="str">
        <f>DEC2HEX(C40+D40*256)</f>
        <v>1B0B</v>
      </c>
      <c r="G40" s="8" t="str">
        <f t="shared" si="6"/>
        <v>DCW[17](1B0B)</v>
      </c>
      <c r="H40" s="50" t="b">
        <f>IF(B40=($B$4-1),"DCM("&amp;E15&amp;":"&amp;F15&amp;"; "&amp;E17&amp;":"&amp;F17&amp;"; "&amp;E19&amp;":"&amp;F19&amp;"; "&amp;E21&amp;":"&amp;F21&amp;"; "&amp;E23&amp;":"&amp;F23&amp;"; "&amp;E25&amp;":"&amp;F25&amp;"; "&amp;E27&amp;":"&amp;F27&amp;"; "&amp;E29&amp;":"&amp;F29&amp;"; "&amp;E31&amp;":"&amp;F31&amp;"; "&amp;E33&amp;":"&amp;F33&amp;"; "&amp;E35&amp;":"&amp;F35&amp;"; "&amp;E37&amp;":"&amp;F37&amp;"; "&amp;E39&amp;":"&amp;F39&amp;"; "&amp;E40&amp;":"&amp;F40&amp;")")</f>
        <v>0</v>
      </c>
      <c r="AB40">
        <f>1+AB39</f>
        <v>30</v>
      </c>
      <c r="AC40">
        <f t="shared" si="2"/>
        <v>136</v>
      </c>
      <c r="AD40" t="str">
        <f>IF($AM$6=3, "V", "I")</f>
        <v>I</v>
      </c>
      <c r="AE40" t="str">
        <f t="shared" si="3"/>
        <v>9A523</v>
      </c>
      <c r="AH40" s="11" t="str">
        <f t="shared" si="4"/>
        <v>DCW[136](9A523)</v>
      </c>
    </row>
    <row r="41" spans="2:34">
      <c r="B41" s="8">
        <f t="shared" si="7"/>
        <v>27</v>
      </c>
      <c r="C41" s="9">
        <v>11</v>
      </c>
      <c r="D41" s="9">
        <v>28</v>
      </c>
      <c r="E41" s="8">
        <v>17</v>
      </c>
      <c r="F41" s="8" t="str">
        <f>DEC2HEX(C40+D40*256+C41*2^16+D41*2^24)</f>
        <v>1C0B1B0B</v>
      </c>
      <c r="G41" s="8" t="str">
        <f t="shared" si="6"/>
        <v>DCW[17](1C0B1B0B)</v>
      </c>
      <c r="H41" s="50" t="b">
        <f>IF(B41=($B$4-1),"DCM("&amp;E15&amp;":"&amp;F15&amp;"; "&amp;E17&amp;":"&amp;F17&amp;"; "&amp;E19&amp;":"&amp;F19&amp;"; "&amp;E21&amp;":"&amp;F21&amp;"; "&amp;E23&amp;":"&amp;F23&amp;"; "&amp;E25&amp;":"&amp;F25&amp;"; "&amp;E27&amp;":"&amp;F27&amp;"; "&amp;E29&amp;":"&amp;F29&amp;"; "&amp;E31&amp;":"&amp;F31&amp;"; "&amp;E33&amp;":"&amp;F33&amp;"; "&amp;E35&amp;":"&amp;F35&amp;"; "&amp;E37&amp;":"&amp;F37&amp;"; "&amp;E39&amp;":"&amp;F39&amp;"; "&amp;E41&amp;":"&amp;F41&amp;")")</f>
        <v>0</v>
      </c>
      <c r="AB41">
        <f>1+AB40</f>
        <v>31</v>
      </c>
      <c r="AC41">
        <f t="shared" si="2"/>
        <v>137</v>
      </c>
      <c r="AD41" t="str">
        <f>IF($AN$6=3, "V", "I")</f>
        <v>I</v>
      </c>
      <c r="AE41" t="str">
        <f t="shared" si="3"/>
        <v>9A523</v>
      </c>
      <c r="AH41" s="11" t="str">
        <f t="shared" si="4"/>
        <v>DCW[137](9A523)</v>
      </c>
    </row>
    <row r="42" spans="2:34">
      <c r="B42" s="8">
        <f t="shared" si="7"/>
        <v>28</v>
      </c>
      <c r="C42" s="9">
        <v>11</v>
      </c>
      <c r="D42" s="9">
        <v>29</v>
      </c>
      <c r="E42" s="8">
        <v>18</v>
      </c>
      <c r="F42" s="8" t="str">
        <f>DEC2HEX(C42+D42*256)</f>
        <v>1D0B</v>
      </c>
      <c r="G42" s="8" t="str">
        <f t="shared" si="6"/>
        <v>DCW[18](1D0B)</v>
      </c>
      <c r="H42" s="50" t="b">
        <f>IF(B42=($B$4-1),"DCM("&amp;E15&amp;":"&amp;F15&amp;"; "&amp;E17&amp;":"&amp;F17&amp;"; "&amp;E19&amp;":"&amp;F19&amp;"; "&amp;E21&amp;":"&amp;F21&amp;"; "&amp;E23&amp;":"&amp;F23&amp;"; "&amp;E25&amp;":"&amp;F25&amp;"; "&amp;E27&amp;":"&amp;F27&amp;"; "&amp;E29&amp;":"&amp;F29&amp;"; "&amp;E31&amp;":"&amp;F31&amp;"; "&amp;E33&amp;":"&amp;F33&amp;"; "&amp;E35&amp;":"&amp;F35&amp;"; "&amp;E37&amp;":"&amp;F37&amp;"; "&amp;E39&amp;":"&amp;F39&amp;"; "&amp;E41&amp;":"&amp;F41&amp;"; "&amp;E42&amp;":"&amp;F42&amp;")")</f>
        <v>0</v>
      </c>
    </row>
    <row r="43" spans="2:34">
      <c r="B43" s="8">
        <f t="shared" si="7"/>
        <v>29</v>
      </c>
      <c r="C43" s="9">
        <v>11</v>
      </c>
      <c r="D43" s="9">
        <v>30</v>
      </c>
      <c r="E43" s="8">
        <v>18</v>
      </c>
      <c r="F43" s="8" t="str">
        <f>DEC2HEX(C42+D42*256+C43*2^16+D43*2^24)</f>
        <v>1E0B1D0B</v>
      </c>
      <c r="G43" s="8" t="str">
        <f t="shared" si="6"/>
        <v>DCW[18](1E0B1D0B)</v>
      </c>
      <c r="H43" s="50" t="b">
        <f>IF(B43=($B$4-1),"DCM("&amp;E15&amp;":"&amp;F15&amp;"; "&amp;E17&amp;":"&amp;F17&amp;"; "&amp;E19&amp;":"&amp;F19&amp;"; "&amp;E21&amp;":"&amp;F21&amp;"; "&amp;E23&amp;":"&amp;F23&amp;"; "&amp;E25&amp;":"&amp;F25&amp;"; "&amp;E27&amp;":"&amp;F27&amp;"; "&amp;E29&amp;":"&amp;F29&amp;"; "&amp;E31&amp;":"&amp;F31&amp;"; "&amp;E33&amp;":"&amp;F33&amp;"; "&amp;E35&amp;":"&amp;F35&amp;"; "&amp;E37&amp;":"&amp;F37&amp;"; "&amp;E39&amp;":"&amp;F39&amp;"; "&amp;E41&amp;":"&amp;F41&amp;"; "&amp;E43&amp;":"&amp;F43&amp;")")</f>
        <v>0</v>
      </c>
    </row>
    <row r="44" spans="2:34">
      <c r="B44" s="8">
        <f t="shared" si="7"/>
        <v>30</v>
      </c>
      <c r="C44" s="9">
        <v>11</v>
      </c>
      <c r="D44" s="9">
        <v>31</v>
      </c>
      <c r="E44" s="8">
        <v>19</v>
      </c>
      <c r="F44" s="8" t="str">
        <f>DEC2HEX(C44+D44*256)</f>
        <v>1F0B</v>
      </c>
      <c r="G44" s="8" t="str">
        <f t="shared" si="6"/>
        <v>DCW[19](1F0B)</v>
      </c>
      <c r="H44" s="50" t="b">
        <f>IF(B44=($B$4-1),"DCM("&amp;E15&amp;":"&amp;F15&amp;"; "&amp;E17&amp;":"&amp;F17&amp;"; "&amp;E19&amp;":"&amp;F19&amp;"; "&amp;E21&amp;":"&amp;F21&amp;"; "&amp;E23&amp;":"&amp;F23&amp;"; "&amp;E25&amp;":"&amp;F25&amp;"; "&amp;E27&amp;":"&amp;F27&amp;"; "&amp;E29&amp;":"&amp;F29&amp;"; "&amp;E31&amp;":"&amp;F31&amp;"; "&amp;E33&amp;":"&amp;F33&amp;"; "&amp;E35&amp;":"&amp;F35&amp;"; "&amp;E37&amp;":"&amp;F37&amp;"; "&amp;E39&amp;":"&amp;F39&amp;"; "&amp;E41&amp;":"&amp;F41&amp;"; "&amp;E43&amp;":"&amp;F43&amp;"; "&amp;E44&amp;":"&amp;F44&amp;")")</f>
        <v>0</v>
      </c>
    </row>
    <row r="46" spans="2:34">
      <c r="K46" t="s">
        <v>129</v>
      </c>
      <c r="N46">
        <v>282</v>
      </c>
    </row>
    <row r="47" spans="2:34">
      <c r="B47" s="14" t="s">
        <v>100</v>
      </c>
      <c r="D47" s="14" t="s">
        <v>109</v>
      </c>
      <c r="E47" s="8">
        <v>50</v>
      </c>
    </row>
    <row r="48" spans="2:34">
      <c r="B48" s="14" t="s">
        <v>103</v>
      </c>
      <c r="C48" s="14" t="s">
        <v>101</v>
      </c>
      <c r="D48" s="14" t="s">
        <v>93</v>
      </c>
      <c r="E48" s="14" t="s">
        <v>102</v>
      </c>
      <c r="F48" s="14" t="s">
        <v>106</v>
      </c>
      <c r="G48" s="14" t="s">
        <v>107</v>
      </c>
      <c r="H48" s="14" t="s">
        <v>108</v>
      </c>
      <c r="I48" s="14" t="s">
        <v>110</v>
      </c>
      <c r="J48" s="14"/>
      <c r="K48" s="14" t="s">
        <v>86</v>
      </c>
      <c r="Q48" s="14" t="s">
        <v>130</v>
      </c>
    </row>
    <row r="49" spans="2:60">
      <c r="B49" s="8">
        <v>0</v>
      </c>
      <c r="C49" t="str">
        <f>I5</f>
        <v>V</v>
      </c>
      <c r="D49" s="51">
        <v>100</v>
      </c>
      <c r="E49" s="51">
        <v>0</v>
      </c>
      <c r="F49" s="51">
        <v>0</v>
      </c>
      <c r="G49" s="8" t="str">
        <f t="shared" ref="G49:G51" si="8">IF(C49="V", DEC2HEX(ROUND(D49/100*10000,0),4), DEC2HEX(ROUND(E49/100*10000,0),4))</f>
        <v>2710</v>
      </c>
      <c r="H49" s="8" t="str">
        <f>DEC2HEX(F49*10,3)</f>
        <v>000</v>
      </c>
      <c r="I49" s="8" t="str">
        <f>DEC2HEX(E47-48,1)</f>
        <v>2</v>
      </c>
      <c r="K49" t="str">
        <f t="shared" ref="K49:K80" si="9">"DCW["&amp;(B49+$N$46)&amp;"]("&amp;I49&amp;H49&amp;G49&amp;")"</f>
        <v>DCW[282](20002710)</v>
      </c>
      <c r="Q49" t="str">
        <f>"DCM("&amp;$N$46+B49&amp;":"&amp;I49&amp;H49&amp;G49&amp;";"     &amp;$N$46+B50&amp;":"&amp;I50&amp;H50&amp;G50&amp;";"     &amp;$N$46+B51&amp;":"&amp;I51&amp;H51&amp;G51&amp;";"       &amp;$N$46+B52&amp;":"&amp;I52&amp;H52&amp;G52&amp;";"     &amp;$N$46+B53&amp;":"&amp;I53&amp;H53&amp;G53&amp;";"
 &amp;$N$46+B54&amp;":"&amp;I54&amp;H54&amp;G54&amp;";"     &amp;$N$46+B55&amp;":"&amp;I55&amp;H55&amp;G55&amp;";"       &amp;$N$46+B56&amp;":"&amp;I56&amp;H56&amp;G56&amp;";"
 &amp;$N$46+B57&amp;":"&amp;I57&amp;H57&amp;G57&amp;";"     &amp;$N$46+B58&amp;":"&amp;I58&amp;H58&amp;G58&amp;";"       &amp;$N$46+B59&amp;":"&amp;I59&amp;H59&amp;G59&amp;";"     &amp;$N$46+B60&amp;":"&amp;I60&amp;H60&amp;G60&amp;";"
 &amp;$N$46+B61&amp;":"&amp;I61&amp;H61&amp;G61&amp;";"     &amp;$N$46+B62&amp;":"&amp;I62&amp;H62&amp;G62&amp;";"       &amp;$N$46+B63&amp;":"&amp;I63&amp;H63&amp;G63&amp;";"     &amp;$N$46+B64&amp;":"&amp;I64&amp;H64&amp;G64&amp;";"
 &amp;$N$46+B65&amp;":"&amp;I65&amp;H65&amp;G65&amp;";"     &amp;$N$46+B66&amp;":"&amp;I66&amp;H66&amp;G66&amp;";"       &amp;$N$46+B67&amp;":"&amp;I67&amp;H67&amp;G67&amp;";"     &amp;$N$46+B68&amp;":"&amp;I68&amp;H68&amp;G68&amp;";"
 &amp;$N$46+B69&amp;":"&amp;I69&amp;H69&amp;G69&amp;";"     &amp;$N$46+B70&amp;":"&amp;I70&amp;H70&amp;G70&amp;";"       &amp;$N$46+B71&amp;":"&amp;I71&amp;H71&amp;G71&amp;";"     &amp;$N$46+B72&amp;":"&amp;I72&amp;H72&amp;G72&amp;";"
 &amp;$N$46+B73&amp;":"&amp;I73&amp;H73&amp;G73&amp;";"     &amp;$N$46+B74&amp;":"&amp;I74&amp;H74&amp;G74&amp;";"       &amp;$N$46+B75&amp;":"&amp;I75&amp;H75&amp;G75&amp;";"     &amp;$N$46+B76&amp;":"&amp;I76&amp;H76&amp;G77&amp;";"
 &amp;$N$46+B78&amp;":"&amp;I78&amp;H78&amp;G78&amp;";"     &amp;$N$46+B79&amp;":"&amp;I79&amp;H79&amp;G79&amp;";"       &amp;$N$46+B80&amp;":"&amp;I80&amp;H80&amp;G80&amp;")"</f>
        <v>DCM(282:20002710;283:00004E20;284:00009C40;285:00002710;286:00004E20;287:00009C40;288:00000000;289:05780000;290:064002BC;291:07080000;292:07D00384;293:04B00BB8;294:0A2803E8;295:0AF0044C;296:0BB804B0;297:0C800514;298:00000000;299:00000000;300:00000000;301:00000000;302:00000000;303:00000000;304:00000000;305:00000000;306:00000000;307:00000000;308:00000000;309:00000000;311:00000000;312:00000000;313:00000000)</v>
      </c>
    </row>
    <row r="50" spans="2:60">
      <c r="B50" s="8">
        <f>1+B49</f>
        <v>1</v>
      </c>
      <c r="C50" t="str">
        <f>J5</f>
        <v>V</v>
      </c>
      <c r="D50" s="51">
        <v>200</v>
      </c>
      <c r="E50" s="51">
        <v>1</v>
      </c>
      <c r="F50" s="51">
        <v>0</v>
      </c>
      <c r="G50" s="8" t="str">
        <f t="shared" si="8"/>
        <v>4E20</v>
      </c>
      <c r="H50" s="8" t="str">
        <f t="shared" ref="H50:H80" si="10">DEC2HEX(F50*10,3)</f>
        <v>000</v>
      </c>
      <c r="I50" s="8">
        <v>0</v>
      </c>
      <c r="K50" t="str">
        <f t="shared" si="9"/>
        <v>DCW[283](00004E20)</v>
      </c>
    </row>
    <row r="51" spans="2:60">
      <c r="B51" s="8">
        <f t="shared" ref="B51:B80" si="11">1+B50</f>
        <v>2</v>
      </c>
      <c r="C51" t="str">
        <f>K5</f>
        <v>V</v>
      </c>
      <c r="D51" s="51">
        <v>400</v>
      </c>
      <c r="E51" s="51">
        <v>2</v>
      </c>
      <c r="F51" s="51">
        <v>0</v>
      </c>
      <c r="G51" s="8" t="str">
        <f t="shared" si="8"/>
        <v>9C40</v>
      </c>
      <c r="H51" s="8" t="str">
        <f t="shared" si="10"/>
        <v>000</v>
      </c>
      <c r="I51" s="8">
        <v>0</v>
      </c>
      <c r="K51" t="str">
        <f t="shared" si="9"/>
        <v>DCW[284](00009C40)</v>
      </c>
      <c r="Q51" s="14" t="s">
        <v>131</v>
      </c>
    </row>
    <row r="52" spans="2:60">
      <c r="B52" s="8">
        <f t="shared" si="11"/>
        <v>3</v>
      </c>
      <c r="C52" t="str">
        <f>L5</f>
        <v>I(CT)</v>
      </c>
      <c r="D52" s="51"/>
      <c r="E52" s="51">
        <v>100</v>
      </c>
      <c r="F52" s="51">
        <v>0</v>
      </c>
      <c r="G52" s="8" t="str">
        <f>IF(C52="V", DEC2HEX(ROUND(D52/100*10000,0),4), DEC2HEX(ROUND(E52/100*10000,0),4))</f>
        <v>2710</v>
      </c>
      <c r="H52" s="8" t="str">
        <f t="shared" si="10"/>
        <v>000</v>
      </c>
      <c r="I52" s="8">
        <v>0</v>
      </c>
      <c r="K52" t="str">
        <f t="shared" si="9"/>
        <v>DCW[285](00002710)</v>
      </c>
      <c r="Q52" s="11" t="str">
        <f>"DCM("&amp;$N$46+B49&amp;":"&amp;I49&amp;H49&amp;G49&amp;";"     &amp;$N$46+B50&amp;":"&amp;I50&amp;H50&amp;G50&amp;";"     &amp;$N$46+B51&amp;":"&amp;I51&amp;H51&amp;G51&amp;";"       &amp;$N$46+B52&amp;":"&amp;I52&amp;H52&amp;G52&amp;";"     &amp;$N$46+B53&amp;":"&amp;I53&amp;H53&amp;G53&amp;";"
 &amp;$N$46+B54&amp;":"&amp;I54&amp;H54&amp;G54&amp;";"     &amp;$N$46+B55&amp;":"&amp;I55&amp;H55&amp;G55&amp;";"       &amp;$N$46+B56&amp;":"&amp;I56&amp;H56&amp;G56&amp;";"
 &amp;$N$46+B57&amp;":"&amp;I57&amp;H57&amp;G57&amp;";"     &amp;$N$46+B58&amp;":"&amp;I58&amp;H58&amp;G58&amp;";"       &amp;$N$46+B59&amp;":"&amp;I59&amp;H59&amp;G59&amp;";"     &amp;$N$46+B60&amp;":"&amp;I60&amp;H60&amp;G60&amp;";"
 &amp;$N$46+B61&amp;":"&amp;I61&amp;H61&amp;G61&amp;";"     &amp;$N$46+B62&amp;":"&amp;I62&amp;H62&amp;G62&amp;";"       &amp;$N$46+B63&amp;":"&amp;I63&amp;H63&amp;G63&amp;";"     &amp;$N$46+B64&amp;":"&amp;I64&amp;H64&amp;G64&amp;")"</f>
        <v>DCM(282:20002710;283:00004E20;284:00009C40;285:00002710;286:00004E20;287:00009C40;288:00000000;289:05780000;290:064002BC;291:07080000;292:07D00384;293:04B00BB8;294:0A2803E8;295:0AF0044C;296:0BB804B0;297:0C800514)</v>
      </c>
    </row>
    <row r="53" spans="2:60">
      <c r="B53" s="8">
        <f t="shared" si="11"/>
        <v>4</v>
      </c>
      <c r="C53" t="str">
        <f>M5</f>
        <v>I(CT)</v>
      </c>
      <c r="D53" s="51">
        <v>0</v>
      </c>
      <c r="E53" s="51">
        <v>200</v>
      </c>
      <c r="F53" s="51">
        <v>0</v>
      </c>
      <c r="G53" s="8" t="str">
        <f t="shared" ref="G53:G80" si="12">IF(C53="V", DEC2HEX(ROUND(D53/100*10000,0),4), DEC2HEX(ROUND(E53/100*10000,0),4))</f>
        <v>4E20</v>
      </c>
      <c r="H53" s="8" t="str">
        <f t="shared" si="10"/>
        <v>000</v>
      </c>
      <c r="I53" s="8">
        <v>0</v>
      </c>
      <c r="K53" t="str">
        <f t="shared" si="9"/>
        <v>DCW[286](00004E20)</v>
      </c>
    </row>
    <row r="54" spans="2:60">
      <c r="B54" s="8">
        <f t="shared" si="11"/>
        <v>5</v>
      </c>
      <c r="C54" t="str">
        <f>N5</f>
        <v>I(CT)</v>
      </c>
      <c r="D54" s="51">
        <v>0</v>
      </c>
      <c r="E54" s="51">
        <v>400</v>
      </c>
      <c r="F54" s="51">
        <v>0</v>
      </c>
      <c r="G54" s="8" t="str">
        <f t="shared" si="12"/>
        <v>9C40</v>
      </c>
      <c r="H54" s="8" t="str">
        <f t="shared" si="10"/>
        <v>000</v>
      </c>
      <c r="I54" s="8">
        <v>0</v>
      </c>
      <c r="K54" t="str">
        <f t="shared" si="9"/>
        <v>DCW[287](00009C40)</v>
      </c>
      <c r="Q54" s="14" t="s">
        <v>132</v>
      </c>
    </row>
    <row r="55" spans="2:60">
      <c r="B55" s="8">
        <f t="shared" si="11"/>
        <v>6</v>
      </c>
      <c r="C55" t="str">
        <f>O5</f>
        <v>I(CT)</v>
      </c>
      <c r="D55" s="51">
        <v>25</v>
      </c>
      <c r="E55" s="51">
        <v>0</v>
      </c>
      <c r="F55" s="51">
        <v>0</v>
      </c>
      <c r="G55" s="8" t="str">
        <f t="shared" si="12"/>
        <v>0000</v>
      </c>
      <c r="H55" s="8" t="str">
        <f t="shared" si="10"/>
        <v>000</v>
      </c>
      <c r="I55" s="8">
        <v>0</v>
      </c>
      <c r="K55" t="str">
        <f t="shared" si="9"/>
        <v>DCW[288](00000000)</v>
      </c>
      <c r="Q55" t="str">
        <f>"DCM("&amp;$N$46+B49&amp;":"&amp;I49&amp;H49&amp;G49&amp;";"     &amp;$N$46+B50&amp;":"&amp;I50&amp;H50&amp;G50&amp;";"     &amp;$N$46+B51&amp;":"&amp;I51&amp;H51&amp;G51&amp;";"       &amp;$N$46+B52&amp;":"&amp;I52&amp;H52&amp;G52&amp;";"     &amp;$N$46+B53&amp;":"&amp;I53&amp;H53&amp;G53&amp;";"
 &amp;$N$46+B54&amp;":"&amp;I54&amp;H54&amp;G54&amp;";"     &amp;$N$46+B55&amp;":"&amp;I55&amp;H55&amp;G55&amp;";"       &amp;$N$46+B56&amp;":"&amp;I56&amp;H56&amp;G56&amp;";"
 &amp;$N$46+B57&amp;":"&amp;I57&amp;H57&amp;G57&amp;";"     &amp;$N$46+B58&amp;":"&amp;I58&amp;H58&amp;G58&amp;";"       &amp;$N$46+B59&amp;":"&amp;I59&amp;H59&amp;G59&amp;";"     &amp;$N$46+B60&amp;":"&amp;I60&amp;H60&amp;G60&amp;")"</f>
        <v>DCM(282:20002710;283:00004E20;284:00009C40;285:00002710;286:00004E20;287:00009C40;288:00000000;289:05780000;290:064002BC;291:07080000;292:07D00384;293:04B00BB8)</v>
      </c>
    </row>
    <row r="56" spans="2:60">
      <c r="B56" s="8">
        <f t="shared" si="11"/>
        <v>7</v>
      </c>
      <c r="C56" t="str">
        <f>P5</f>
        <v>V</v>
      </c>
      <c r="D56" s="51">
        <v>0</v>
      </c>
      <c r="E56" s="51">
        <v>6</v>
      </c>
      <c r="F56" s="51">
        <v>140</v>
      </c>
      <c r="G56" s="8" t="str">
        <f t="shared" si="12"/>
        <v>0000</v>
      </c>
      <c r="H56" s="8" t="str">
        <f t="shared" si="10"/>
        <v>578</v>
      </c>
      <c r="I56" s="8">
        <v>0</v>
      </c>
      <c r="K56" t="str">
        <f t="shared" si="9"/>
        <v>DCW[289](05780000)</v>
      </c>
    </row>
    <row r="57" spans="2:60">
      <c r="B57" s="8">
        <f t="shared" si="11"/>
        <v>8</v>
      </c>
      <c r="C57" t="str">
        <f>Q5</f>
        <v>I(CT)</v>
      </c>
      <c r="D57" s="51">
        <v>0</v>
      </c>
      <c r="E57" s="51">
        <v>7</v>
      </c>
      <c r="F57" s="51">
        <v>160</v>
      </c>
      <c r="G57" s="8" t="str">
        <f t="shared" si="12"/>
        <v>02BC</v>
      </c>
      <c r="H57" s="8" t="str">
        <f t="shared" si="10"/>
        <v>640</v>
      </c>
      <c r="I57" s="8">
        <v>0</v>
      </c>
      <c r="K57" t="str">
        <f t="shared" si="9"/>
        <v>DCW[290](064002BC)</v>
      </c>
      <c r="Q57" s="14" t="s">
        <v>133</v>
      </c>
    </row>
    <row r="58" spans="2:60">
      <c r="B58" s="8">
        <f t="shared" si="11"/>
        <v>9</v>
      </c>
      <c r="C58" t="str">
        <f>R5</f>
        <v>V</v>
      </c>
      <c r="D58" s="51">
        <v>0</v>
      </c>
      <c r="E58" s="51">
        <v>8</v>
      </c>
      <c r="F58" s="51">
        <v>180</v>
      </c>
      <c r="G58" s="8" t="str">
        <f t="shared" si="12"/>
        <v>0000</v>
      </c>
      <c r="H58" s="8" t="str">
        <f t="shared" si="10"/>
        <v>708</v>
      </c>
      <c r="I58" s="8">
        <v>0</v>
      </c>
      <c r="K58" t="str">
        <f t="shared" si="9"/>
        <v>DCW[291](07080000)</v>
      </c>
      <c r="Q58" t="str">
        <f>"DCM("&amp;$N$46+B49&amp;":"&amp;I49&amp;H49&amp;G49&amp;";"     &amp;$N$46+B50&amp;":"&amp;I50&amp;H50&amp;G50&amp;";"     &amp;$N$46+B51&amp;":"&amp;I51&amp;H51&amp;G51&amp;";"       &amp;$N$46+B52&amp;":"&amp;I52&amp;H52&amp;G52&amp;";"     &amp;$N$46+B53&amp;":"&amp;I53&amp;H53&amp;G53&amp;";"
 &amp;$N$46+B54&amp;":"&amp;I54&amp;H54&amp;G54&amp;";"     &amp;$N$46+B55&amp;":"&amp;I55&amp;H55&amp;G55&amp;";"       &amp;$N$46+B56&amp;":"&amp;I56&amp;H56&amp;G56&amp;")"</f>
        <v>DCM(282:20002710;283:00004E20;284:00009C40;285:00002710;286:00004E20;287:00009C40;288:00000000;289:05780000)</v>
      </c>
    </row>
    <row r="59" spans="2:60">
      <c r="B59" s="8">
        <f t="shared" si="11"/>
        <v>10</v>
      </c>
      <c r="C59" t="str">
        <f>S5</f>
        <v>I(CT)</v>
      </c>
      <c r="D59" s="51">
        <v>0</v>
      </c>
      <c r="E59" s="51">
        <v>9</v>
      </c>
      <c r="F59" s="51">
        <v>200</v>
      </c>
      <c r="G59" s="8" t="str">
        <f t="shared" si="12"/>
        <v>0384</v>
      </c>
      <c r="H59" s="8" t="str">
        <f t="shared" si="10"/>
        <v>7D0</v>
      </c>
      <c r="I59" s="8">
        <v>0</v>
      </c>
      <c r="K59" t="str">
        <f t="shared" si="9"/>
        <v>DCW[292](07D00384)</v>
      </c>
    </row>
    <row r="60" spans="2:60">
      <c r="B60" s="8">
        <f t="shared" si="11"/>
        <v>11</v>
      </c>
      <c r="C60" t="str">
        <f>T5</f>
        <v>V</v>
      </c>
      <c r="D60" s="51">
        <v>30</v>
      </c>
      <c r="E60" s="51">
        <v>0</v>
      </c>
      <c r="F60" s="51">
        <v>120</v>
      </c>
      <c r="G60" s="8" t="str">
        <f t="shared" si="12"/>
        <v>0BB8</v>
      </c>
      <c r="H60" s="8" t="str">
        <f t="shared" si="10"/>
        <v>4B0</v>
      </c>
      <c r="I60" s="8">
        <v>0</v>
      </c>
      <c r="K60" t="str">
        <f t="shared" si="9"/>
        <v>DCW[293](04B00BB8)</v>
      </c>
    </row>
    <row r="61" spans="2:60">
      <c r="B61" s="8">
        <f t="shared" si="11"/>
        <v>12</v>
      </c>
      <c r="C61" t="str">
        <f>U5</f>
        <v>I(CT)</v>
      </c>
      <c r="D61" s="51">
        <v>0</v>
      </c>
      <c r="E61" s="51">
        <v>10</v>
      </c>
      <c r="F61" s="51">
        <v>260</v>
      </c>
      <c r="G61" s="8" t="str">
        <f t="shared" si="12"/>
        <v>03E8</v>
      </c>
      <c r="H61" s="8" t="str">
        <f t="shared" si="10"/>
        <v>A28</v>
      </c>
      <c r="I61" s="8">
        <v>0</v>
      </c>
      <c r="K61" t="str">
        <f t="shared" si="9"/>
        <v>DCW[294](0A2803E8)</v>
      </c>
      <c r="AU61" t="s">
        <v>134</v>
      </c>
    </row>
    <row r="62" spans="2:60">
      <c r="B62" s="8">
        <f t="shared" si="11"/>
        <v>13</v>
      </c>
      <c r="C62" t="str">
        <f>V5</f>
        <v>I(CT)</v>
      </c>
      <c r="D62" s="51">
        <v>0</v>
      </c>
      <c r="E62" s="51">
        <v>11</v>
      </c>
      <c r="F62" s="51">
        <v>280</v>
      </c>
      <c r="G62" s="8" t="str">
        <f t="shared" si="12"/>
        <v>044C</v>
      </c>
      <c r="H62" s="8" t="str">
        <f t="shared" si="10"/>
        <v>AF0</v>
      </c>
      <c r="I62" s="8">
        <v>0</v>
      </c>
      <c r="K62" t="str">
        <f t="shared" si="9"/>
        <v>DCW[295](0AF0044C)</v>
      </c>
      <c r="AU62" t="s">
        <v>135</v>
      </c>
    </row>
    <row r="63" spans="2:60">
      <c r="B63" s="8">
        <f t="shared" si="11"/>
        <v>14</v>
      </c>
      <c r="C63" t="str">
        <f>W5</f>
        <v>I(CT)</v>
      </c>
      <c r="D63" s="51">
        <v>0</v>
      </c>
      <c r="E63" s="51">
        <v>12</v>
      </c>
      <c r="F63" s="51">
        <v>300</v>
      </c>
      <c r="G63" s="8" t="str">
        <f t="shared" si="12"/>
        <v>04B0</v>
      </c>
      <c r="H63" s="8" t="str">
        <f t="shared" si="10"/>
        <v>BB8</v>
      </c>
      <c r="I63" s="8">
        <v>0</v>
      </c>
      <c r="K63" t="str">
        <f t="shared" si="9"/>
        <v>DCW[296](0BB804B0)</v>
      </c>
      <c r="AU63" t="s">
        <v>119</v>
      </c>
      <c r="AV63" s="14" t="s">
        <v>120</v>
      </c>
      <c r="AW63" s="14" t="s">
        <v>121</v>
      </c>
      <c r="AX63" s="14" t="s">
        <v>101</v>
      </c>
      <c r="AY63" s="14" t="s">
        <v>122</v>
      </c>
      <c r="AZ63" s="14" t="s">
        <v>136</v>
      </c>
      <c r="BB63" s="14" t="s">
        <v>123</v>
      </c>
      <c r="BC63" s="14"/>
      <c r="BD63" s="14"/>
      <c r="BE63" s="14"/>
      <c r="BF63" s="14"/>
      <c r="BG63" s="14" t="s">
        <v>124</v>
      </c>
      <c r="BH63" s="14"/>
    </row>
    <row r="64" spans="2:60">
      <c r="B64" s="8">
        <f t="shared" si="11"/>
        <v>15</v>
      </c>
      <c r="C64" t="str">
        <f>X5</f>
        <v>I(CT)</v>
      </c>
      <c r="D64" s="51">
        <v>0</v>
      </c>
      <c r="E64" s="51">
        <v>13</v>
      </c>
      <c r="F64" s="51">
        <v>320</v>
      </c>
      <c r="G64" s="8" t="str">
        <f t="shared" si="12"/>
        <v>0514</v>
      </c>
      <c r="H64" s="8" t="str">
        <f t="shared" si="10"/>
        <v>C80</v>
      </c>
      <c r="I64" s="8">
        <v>0</v>
      </c>
      <c r="K64" t="str">
        <f t="shared" si="9"/>
        <v>DCW[297](0C800514)</v>
      </c>
      <c r="AU64">
        <v>74</v>
      </c>
      <c r="AV64">
        <v>0</v>
      </c>
      <c r="AW64">
        <f t="shared" ref="AW64:AW95" si="13">AV64+$AU$64</f>
        <v>74</v>
      </c>
      <c r="AX64" t="str">
        <f>IF($I$6=3, "V", "I")</f>
        <v>V</v>
      </c>
      <c r="AY64" t="str">
        <f>IF(AX64="V",$AE$7,$AK$7)</f>
        <v>19CC00</v>
      </c>
      <c r="AZ64">
        <v>7</v>
      </c>
      <c r="BA64" t="str">
        <f>DEC2HEX(ROUND((AZ64/HEX2DEC(AY64)*2^10)^2*2^32,0),8)</f>
        <v>00012D98</v>
      </c>
      <c r="BB64" s="11" t="str">
        <f>"DCW["&amp;AW64&amp;"]("&amp;BA64&amp;")"</f>
        <v>DCW[74](00012D98)</v>
      </c>
    </row>
    <row r="65" spans="2:60">
      <c r="B65" s="8">
        <f t="shared" si="11"/>
        <v>16</v>
      </c>
      <c r="C65" t="str">
        <f>Y5</f>
        <v>I(CT)</v>
      </c>
      <c r="D65" s="51">
        <v>0</v>
      </c>
      <c r="E65" s="51">
        <v>0</v>
      </c>
      <c r="F65" s="51">
        <v>0</v>
      </c>
      <c r="G65" s="8" t="str">
        <f t="shared" si="12"/>
        <v>0000</v>
      </c>
      <c r="H65" s="8" t="str">
        <f t="shared" si="10"/>
        <v>000</v>
      </c>
      <c r="I65" s="8">
        <v>0</v>
      </c>
      <c r="K65" t="str">
        <f t="shared" si="9"/>
        <v>DCW[298](00000000)</v>
      </c>
      <c r="U65" t="str">
        <f>DEC2HEX(E52/100*10000,4)</f>
        <v>2710</v>
      </c>
      <c r="AV65">
        <f>1+AV64</f>
        <v>1</v>
      </c>
      <c r="AW65">
        <f t="shared" si="13"/>
        <v>75</v>
      </c>
      <c r="AX65" t="str">
        <f>IF($J$6=3, "V", "I")</f>
        <v>V</v>
      </c>
      <c r="AY65" t="str">
        <f t="shared" ref="AY65:AY95" si="14">IF(AX65="V",$AE$7,$AK$7)</f>
        <v>19CC00</v>
      </c>
      <c r="AZ65">
        <v>25</v>
      </c>
      <c r="BA65" t="str">
        <f t="shared" ref="BA65:BA79" si="15">DEC2HEX(ROUND((AZ65/HEX2DEC(AY65)*2^10)^2*2^32,0),8)</f>
        <v>000F06DB</v>
      </c>
      <c r="BB65" s="11" t="str">
        <f t="shared" ref="BB65:BB95" si="16">"DCW["&amp;AW65&amp;"]("&amp;BA65&amp;")"</f>
        <v>DCW[75](000F06DB)</v>
      </c>
    </row>
    <row r="66" spans="2:60">
      <c r="B66" s="8">
        <f t="shared" si="11"/>
        <v>17</v>
      </c>
      <c r="C66" t="str">
        <f>Z5</f>
        <v>I(CT)</v>
      </c>
      <c r="D66" s="51">
        <v>0</v>
      </c>
      <c r="E66" s="51">
        <v>0</v>
      </c>
      <c r="F66" s="51">
        <v>0</v>
      </c>
      <c r="G66" s="8" t="str">
        <f t="shared" si="12"/>
        <v>0000</v>
      </c>
      <c r="H66" s="8" t="str">
        <f t="shared" si="10"/>
        <v>000</v>
      </c>
      <c r="I66" s="8">
        <v>0</v>
      </c>
      <c r="K66" t="str">
        <f t="shared" si="9"/>
        <v>DCW[299](00000000)</v>
      </c>
      <c r="U66">
        <f>E52/100*10000</f>
        <v>10000</v>
      </c>
      <c r="AV66">
        <f t="shared" ref="AV66:AV93" si="17">1+AV65</f>
        <v>2</v>
      </c>
      <c r="AW66">
        <f t="shared" si="13"/>
        <v>76</v>
      </c>
      <c r="AX66" t="str">
        <f>IF($K$6=3, "V", "I")</f>
        <v>V</v>
      </c>
      <c r="AY66" t="str">
        <f t="shared" si="14"/>
        <v>19CC00</v>
      </c>
      <c r="AZ66">
        <v>29</v>
      </c>
      <c r="BA66" t="str">
        <f t="shared" si="15"/>
        <v>00143854</v>
      </c>
      <c r="BB66" s="11" t="str">
        <f t="shared" si="16"/>
        <v>DCW[76](00143854)</v>
      </c>
      <c r="BG66" s="14" t="s">
        <v>126</v>
      </c>
    </row>
    <row r="67" spans="2:60">
      <c r="B67" s="8">
        <f t="shared" si="11"/>
        <v>18</v>
      </c>
      <c r="C67" t="str">
        <f>AA5</f>
        <v>I(CT)</v>
      </c>
      <c r="D67" s="51">
        <v>0</v>
      </c>
      <c r="E67" s="51">
        <v>0</v>
      </c>
      <c r="F67" s="51">
        <v>0</v>
      </c>
      <c r="G67" s="8" t="str">
        <f t="shared" si="12"/>
        <v>0000</v>
      </c>
      <c r="H67" s="8" t="str">
        <f t="shared" si="10"/>
        <v>000</v>
      </c>
      <c r="I67" s="8">
        <v>0</v>
      </c>
      <c r="K67" t="str">
        <f t="shared" si="9"/>
        <v>DCW[300](00000000)</v>
      </c>
      <c r="U67" t="str">
        <f>DEC2HEX(3,4)</f>
        <v>0003</v>
      </c>
      <c r="AV67">
        <f t="shared" si="17"/>
        <v>3</v>
      </c>
      <c r="AW67">
        <f t="shared" si="13"/>
        <v>77</v>
      </c>
      <c r="AX67" t="str">
        <f>IF($L$6=3, "V", "I")</f>
        <v>I</v>
      </c>
      <c r="AY67" t="str">
        <f t="shared" si="14"/>
        <v>9A523</v>
      </c>
      <c r="AZ67">
        <v>39</v>
      </c>
      <c r="BA67" t="str">
        <f t="shared" si="15"/>
        <v>010599C5</v>
      </c>
      <c r="BB67" s="11" t="str">
        <f t="shared" si="16"/>
        <v>DCW[77](010599C5)</v>
      </c>
      <c r="BG67" s="11" t="str">
        <f>"DCM("&amp;AW64&amp;":"&amp;BA64&amp;";"    &amp;AW65&amp;":"&amp;BA65&amp;";"   &amp;AW66&amp;":"&amp;BA66&amp;";"  &amp;AW67&amp;":"&amp;BA67&amp;";"
&amp;AW68&amp;":"&amp;BA68&amp;";"    &amp;AW69&amp;":"&amp;BA69&amp;";"   &amp;AW70&amp;":"&amp;BA70&amp;";"  &amp;AW71&amp;":"&amp;BA71&amp;";"
&amp;AW72&amp;":"&amp;BA72&amp;";"    &amp;AW73&amp;":"&amp;BA73&amp;";"   &amp;AW74&amp;":"&amp;BA74&amp;";"  &amp;AW75&amp;":"&amp;BA75&amp;";"
&amp;AW76&amp;":"&amp;BA76&amp;";"    &amp;AW77&amp;":"&amp;BA77&amp;";"   &amp;AW78&amp;":"&amp;BA78&amp;";"  &amp;AW79&amp;":"&amp;BA79        &amp;")"</f>
        <v>DCM(74:00012D98;75:000F06DB;76:00143854;77:010599C5;78:021B5E5F;79:006B7ECF;80:044CC098;81:007CA35A;82:0B5AAC92;83:030AFCF1;84:06103B97;85:02B6D68E;86:1DA0DF1A;87:238A67EB;88:251A49E3;89:30FA41C7)</v>
      </c>
    </row>
    <row r="68" spans="2:60">
      <c r="B68" s="8">
        <f t="shared" si="11"/>
        <v>19</v>
      </c>
      <c r="C68" t="str">
        <f>AB5</f>
        <v>I(CT)</v>
      </c>
      <c r="D68" s="51">
        <v>0</v>
      </c>
      <c r="E68" s="51">
        <v>0</v>
      </c>
      <c r="F68" s="51">
        <v>0</v>
      </c>
      <c r="G68" s="8" t="str">
        <f t="shared" si="12"/>
        <v>0000</v>
      </c>
      <c r="H68" s="8" t="str">
        <f t="shared" si="10"/>
        <v>000</v>
      </c>
      <c r="I68" s="8">
        <v>0</v>
      </c>
      <c r="K68" t="str">
        <f t="shared" si="9"/>
        <v>DCW[301](00000000)</v>
      </c>
      <c r="AV68">
        <f t="shared" si="17"/>
        <v>4</v>
      </c>
      <c r="AW68">
        <f t="shared" si="13"/>
        <v>78</v>
      </c>
      <c r="AX68" t="str">
        <f>IF($M$6=3, "V", "I")</f>
        <v>I</v>
      </c>
      <c r="AY68" t="str">
        <f t="shared" si="14"/>
        <v>9A523</v>
      </c>
      <c r="AZ68">
        <v>56</v>
      </c>
      <c r="BA68" t="str">
        <f t="shared" si="15"/>
        <v>021B5E5F</v>
      </c>
      <c r="BB68" s="11" t="str">
        <f t="shared" si="16"/>
        <v>DCW[78](021B5E5F)</v>
      </c>
      <c r="BG68" s="14"/>
      <c r="BH68" s="14"/>
    </row>
    <row r="69" spans="2:60">
      <c r="B69" s="8">
        <f t="shared" si="11"/>
        <v>20</v>
      </c>
      <c r="C69" t="str">
        <f>AC5</f>
        <v>I(CT)</v>
      </c>
      <c r="D69" s="51">
        <v>0</v>
      </c>
      <c r="E69" s="51">
        <v>0</v>
      </c>
      <c r="F69" s="51">
        <v>0</v>
      </c>
      <c r="G69" s="8" t="str">
        <f t="shared" si="12"/>
        <v>0000</v>
      </c>
      <c r="H69" s="8" t="str">
        <f t="shared" si="10"/>
        <v>000</v>
      </c>
      <c r="I69" s="8">
        <v>0</v>
      </c>
      <c r="K69" t="str">
        <f t="shared" si="9"/>
        <v>DCW[302](00000000)</v>
      </c>
      <c r="AV69">
        <f t="shared" si="17"/>
        <v>5</v>
      </c>
      <c r="AW69">
        <f t="shared" si="13"/>
        <v>79</v>
      </c>
      <c r="AX69" t="str">
        <f>IF($N$6=3, "V", "I")</f>
        <v>I</v>
      </c>
      <c r="AY69" t="str">
        <f t="shared" si="14"/>
        <v>9A523</v>
      </c>
      <c r="AZ69">
        <v>25</v>
      </c>
      <c r="BA69" t="str">
        <f t="shared" si="15"/>
        <v>006B7ECF</v>
      </c>
      <c r="BB69" s="11" t="str">
        <f t="shared" si="16"/>
        <v>DCW[79](006B7ECF)</v>
      </c>
    </row>
    <row r="70" spans="2:60">
      <c r="B70" s="8">
        <f t="shared" si="11"/>
        <v>21</v>
      </c>
      <c r="C70" t="str">
        <f>AD5</f>
        <v>I(CT)</v>
      </c>
      <c r="D70" s="51">
        <v>0</v>
      </c>
      <c r="E70" s="51">
        <v>0</v>
      </c>
      <c r="F70" s="51">
        <v>0</v>
      </c>
      <c r="G70" s="8" t="str">
        <f t="shared" si="12"/>
        <v>0000</v>
      </c>
      <c r="H70" s="8" t="str">
        <f t="shared" si="10"/>
        <v>000</v>
      </c>
      <c r="I70" s="8">
        <v>0</v>
      </c>
      <c r="K70" t="str">
        <f t="shared" si="9"/>
        <v>DCW[303](00000000)</v>
      </c>
      <c r="AV70">
        <f t="shared" si="17"/>
        <v>6</v>
      </c>
      <c r="AW70">
        <f t="shared" si="13"/>
        <v>80</v>
      </c>
      <c r="AX70" t="str">
        <f>IF($O$6=3, "V", "I")</f>
        <v>I</v>
      </c>
      <c r="AY70" t="str">
        <f t="shared" si="14"/>
        <v>9A523</v>
      </c>
      <c r="AZ70">
        <v>80</v>
      </c>
      <c r="BA70" t="str">
        <f t="shared" si="15"/>
        <v>044CC098</v>
      </c>
      <c r="BB70" s="11" t="str">
        <f t="shared" si="16"/>
        <v>DCW[80](044CC098)</v>
      </c>
    </row>
    <row r="71" spans="2:60">
      <c r="B71" s="8">
        <f t="shared" si="11"/>
        <v>22</v>
      </c>
      <c r="C71" t="str">
        <f>AE5</f>
        <v>I(CT)</v>
      </c>
      <c r="D71" s="51">
        <v>0</v>
      </c>
      <c r="E71" s="51">
        <v>0</v>
      </c>
      <c r="F71" s="51">
        <v>0</v>
      </c>
      <c r="G71" s="8" t="str">
        <f t="shared" si="12"/>
        <v>0000</v>
      </c>
      <c r="H71" s="8" t="str">
        <f t="shared" si="10"/>
        <v>000</v>
      </c>
      <c r="I71" s="8">
        <v>0</v>
      </c>
      <c r="K71" t="str">
        <f t="shared" si="9"/>
        <v>DCW[304](00000000)</v>
      </c>
      <c r="AV71">
        <f t="shared" si="17"/>
        <v>7</v>
      </c>
      <c r="AW71">
        <f t="shared" si="13"/>
        <v>81</v>
      </c>
      <c r="AX71" t="str">
        <f>IF($P$6=3, "V", "I")</f>
        <v>V</v>
      </c>
      <c r="AY71" t="str">
        <f t="shared" si="14"/>
        <v>19CC00</v>
      </c>
      <c r="AZ71">
        <v>72</v>
      </c>
      <c r="BA71" t="str">
        <f t="shared" si="15"/>
        <v>007CA35A</v>
      </c>
      <c r="BB71" s="11" t="str">
        <f t="shared" si="16"/>
        <v>DCW[81](007CA35A)</v>
      </c>
    </row>
    <row r="72" spans="2:60">
      <c r="B72" s="8">
        <f t="shared" si="11"/>
        <v>23</v>
      </c>
      <c r="C72" t="str">
        <f>AF5</f>
        <v>I(CT)</v>
      </c>
      <c r="D72" s="51">
        <v>0</v>
      </c>
      <c r="E72" s="51">
        <v>0</v>
      </c>
      <c r="F72" s="51">
        <v>0</v>
      </c>
      <c r="G72" s="8" t="str">
        <f t="shared" si="12"/>
        <v>0000</v>
      </c>
      <c r="H72" s="8" t="str">
        <f t="shared" si="10"/>
        <v>000</v>
      </c>
      <c r="I72" s="8">
        <v>0</v>
      </c>
      <c r="K72" t="str">
        <f t="shared" si="9"/>
        <v>DCW[305](00000000)</v>
      </c>
      <c r="AV72">
        <f t="shared" si="17"/>
        <v>8</v>
      </c>
      <c r="AW72">
        <f t="shared" si="13"/>
        <v>82</v>
      </c>
      <c r="AX72" t="str">
        <f>IF($Q$6=3, "V", "I")</f>
        <v>I</v>
      </c>
      <c r="AY72" t="str">
        <f t="shared" si="14"/>
        <v>9A523</v>
      </c>
      <c r="AZ72">
        <v>130</v>
      </c>
      <c r="BA72" t="str">
        <f t="shared" si="15"/>
        <v>0B5AAC92</v>
      </c>
      <c r="BB72" s="11" t="str">
        <f t="shared" si="16"/>
        <v>DCW[82](0B5AAC92)</v>
      </c>
    </row>
    <row r="73" spans="2:60">
      <c r="B73" s="8">
        <f t="shared" si="11"/>
        <v>24</v>
      </c>
      <c r="C73" t="str">
        <f>AG5</f>
        <v>I(CT)</v>
      </c>
      <c r="D73" s="51">
        <v>0</v>
      </c>
      <c r="E73" s="51">
        <v>0</v>
      </c>
      <c r="F73" s="51">
        <v>0</v>
      </c>
      <c r="G73" s="8" t="str">
        <f t="shared" si="12"/>
        <v>0000</v>
      </c>
      <c r="H73" s="8" t="str">
        <f t="shared" si="10"/>
        <v>000</v>
      </c>
      <c r="I73" s="8">
        <v>0</v>
      </c>
      <c r="K73" t="str">
        <f t="shared" si="9"/>
        <v>DCW[306](00000000)</v>
      </c>
      <c r="AV73">
        <f t="shared" si="17"/>
        <v>9</v>
      </c>
      <c r="AW73">
        <f t="shared" si="13"/>
        <v>83</v>
      </c>
      <c r="AX73" t="str">
        <f>IF($R$6=3, "V", "I")</f>
        <v>V</v>
      </c>
      <c r="AY73" t="str">
        <f t="shared" si="14"/>
        <v>19CC00</v>
      </c>
      <c r="AZ73">
        <v>180</v>
      </c>
      <c r="BA73" t="str">
        <f t="shared" si="15"/>
        <v>030AFCF1</v>
      </c>
      <c r="BB73" s="11" t="str">
        <f t="shared" si="16"/>
        <v>DCW[83](030AFCF1)</v>
      </c>
    </row>
    <row r="74" spans="2:60">
      <c r="B74" s="8">
        <f t="shared" si="11"/>
        <v>25</v>
      </c>
      <c r="C74" t="str">
        <f>AH5</f>
        <v>I(CT)</v>
      </c>
      <c r="D74" s="51">
        <v>0</v>
      </c>
      <c r="E74" s="51">
        <v>0</v>
      </c>
      <c r="F74" s="51">
        <v>0</v>
      </c>
      <c r="G74" s="8" t="str">
        <f t="shared" si="12"/>
        <v>0000</v>
      </c>
      <c r="H74" s="8" t="str">
        <f t="shared" si="10"/>
        <v>000</v>
      </c>
      <c r="I74" s="8">
        <v>0</v>
      </c>
      <c r="K74" t="str">
        <f t="shared" si="9"/>
        <v>DCW[307](00000000)</v>
      </c>
      <c r="AV74">
        <f t="shared" si="17"/>
        <v>10</v>
      </c>
      <c r="AW74">
        <f t="shared" si="13"/>
        <v>84</v>
      </c>
      <c r="AX74" t="str">
        <f>IF($S$6=3, "V", "I")</f>
        <v>I</v>
      </c>
      <c r="AY74" t="str">
        <f t="shared" si="14"/>
        <v>9A523</v>
      </c>
      <c r="AZ74">
        <v>95</v>
      </c>
      <c r="BA74" t="str">
        <f t="shared" si="15"/>
        <v>06103B97</v>
      </c>
      <c r="BB74" s="11" t="str">
        <f t="shared" si="16"/>
        <v>DCW[84](06103B97)</v>
      </c>
    </row>
    <row r="75" spans="2:60">
      <c r="B75" s="8">
        <f t="shared" si="11"/>
        <v>26</v>
      </c>
      <c r="C75" t="str">
        <f>AI5</f>
        <v>I(CT)</v>
      </c>
      <c r="D75" s="51">
        <v>0</v>
      </c>
      <c r="E75" s="51">
        <v>0</v>
      </c>
      <c r="F75" s="51">
        <v>0</v>
      </c>
      <c r="G75" s="8" t="str">
        <f t="shared" si="12"/>
        <v>0000</v>
      </c>
      <c r="H75" s="8" t="str">
        <f t="shared" si="10"/>
        <v>000</v>
      </c>
      <c r="I75" s="8">
        <v>0</v>
      </c>
      <c r="K75" t="str">
        <f t="shared" si="9"/>
        <v>DCW[308](00000000)</v>
      </c>
      <c r="AV75">
        <f t="shared" si="17"/>
        <v>11</v>
      </c>
      <c r="AW75">
        <f t="shared" si="13"/>
        <v>85</v>
      </c>
      <c r="AX75" t="str">
        <f>IF($T$6=3, "V", "I")</f>
        <v>V</v>
      </c>
      <c r="AY75" t="str">
        <f t="shared" si="14"/>
        <v>19CC00</v>
      </c>
      <c r="AZ75">
        <v>170</v>
      </c>
      <c r="BA75" t="str">
        <f t="shared" si="15"/>
        <v>02B6D68E</v>
      </c>
      <c r="BB75" s="11" t="str">
        <f t="shared" si="16"/>
        <v>DCW[85](02B6D68E)</v>
      </c>
    </row>
    <row r="76" spans="2:60">
      <c r="B76" s="8">
        <f t="shared" si="11"/>
        <v>27</v>
      </c>
      <c r="C76" t="str">
        <f>AJ5</f>
        <v>I(CT)</v>
      </c>
      <c r="D76" s="51">
        <v>0</v>
      </c>
      <c r="E76" s="51">
        <v>0</v>
      </c>
      <c r="F76" s="51">
        <v>0</v>
      </c>
      <c r="G76" s="8" t="str">
        <f t="shared" si="12"/>
        <v>0000</v>
      </c>
      <c r="H76" s="8" t="str">
        <f t="shared" si="10"/>
        <v>000</v>
      </c>
      <c r="I76" s="8">
        <v>0</v>
      </c>
      <c r="K76" t="str">
        <f t="shared" si="9"/>
        <v>DCW[309](00000000)</v>
      </c>
      <c r="AV76">
        <f t="shared" si="17"/>
        <v>12</v>
      </c>
      <c r="AW76">
        <f t="shared" si="13"/>
        <v>86</v>
      </c>
      <c r="AX76" t="str">
        <f>IF($U$6=3, "V", "I")</f>
        <v>I</v>
      </c>
      <c r="AY76" t="str">
        <f t="shared" si="14"/>
        <v>9A523</v>
      </c>
      <c r="AZ76">
        <v>210</v>
      </c>
      <c r="BA76" t="str">
        <f t="shared" si="15"/>
        <v>1DA0DF1A</v>
      </c>
      <c r="BB76" s="11" t="str">
        <f t="shared" si="16"/>
        <v>DCW[86](1DA0DF1A)</v>
      </c>
    </row>
    <row r="77" spans="2:60">
      <c r="B77" s="8">
        <f t="shared" si="11"/>
        <v>28</v>
      </c>
      <c r="C77" t="str">
        <f>AK5</f>
        <v>I(CT)</v>
      </c>
      <c r="D77" s="51">
        <v>0</v>
      </c>
      <c r="E77" s="51">
        <v>0</v>
      </c>
      <c r="F77" s="51">
        <v>0</v>
      </c>
      <c r="G77" s="8" t="str">
        <f t="shared" si="12"/>
        <v>0000</v>
      </c>
      <c r="H77" s="8" t="str">
        <f t="shared" si="10"/>
        <v>000</v>
      </c>
      <c r="I77" s="8">
        <v>0</v>
      </c>
      <c r="K77" t="str">
        <f t="shared" si="9"/>
        <v>DCW[310](00000000)</v>
      </c>
      <c r="AV77">
        <f t="shared" si="17"/>
        <v>13</v>
      </c>
      <c r="AW77">
        <f t="shared" si="13"/>
        <v>87</v>
      </c>
      <c r="AX77" t="str">
        <f>IF($V$6=3, "V", "I")</f>
        <v>I</v>
      </c>
      <c r="AY77" t="str">
        <f t="shared" si="14"/>
        <v>9A523</v>
      </c>
      <c r="AZ77">
        <v>230</v>
      </c>
      <c r="BA77" t="str">
        <f t="shared" si="15"/>
        <v>238A67EB</v>
      </c>
      <c r="BB77" s="11" t="str">
        <f t="shared" si="16"/>
        <v>DCW[87](238A67EB)</v>
      </c>
    </row>
    <row r="78" spans="2:60">
      <c r="B78" s="8">
        <f t="shared" si="11"/>
        <v>29</v>
      </c>
      <c r="C78" t="str">
        <f>AL5</f>
        <v>I(CT)</v>
      </c>
      <c r="D78" s="51">
        <v>0</v>
      </c>
      <c r="E78" s="51">
        <v>0</v>
      </c>
      <c r="F78" s="51">
        <v>0</v>
      </c>
      <c r="G78" s="8" t="str">
        <f t="shared" si="12"/>
        <v>0000</v>
      </c>
      <c r="H78" s="8" t="str">
        <f t="shared" si="10"/>
        <v>000</v>
      </c>
      <c r="I78" s="8">
        <v>0</v>
      </c>
      <c r="K78" t="str">
        <f t="shared" si="9"/>
        <v>DCW[311](00000000)</v>
      </c>
      <c r="AV78">
        <f t="shared" si="17"/>
        <v>14</v>
      </c>
      <c r="AW78">
        <f t="shared" si="13"/>
        <v>88</v>
      </c>
      <c r="AX78" t="str">
        <f>IF($W$6=3, "V", "I")</f>
        <v>I</v>
      </c>
      <c r="AY78" t="str">
        <f t="shared" si="14"/>
        <v>9A523</v>
      </c>
      <c r="AZ78">
        <v>235</v>
      </c>
      <c r="BA78" t="str">
        <f t="shared" si="15"/>
        <v>251A49E3</v>
      </c>
      <c r="BB78" s="11" t="str">
        <f t="shared" si="16"/>
        <v>DCW[88](251A49E3)</v>
      </c>
    </row>
    <row r="79" spans="2:60">
      <c r="B79" s="8">
        <f t="shared" si="11"/>
        <v>30</v>
      </c>
      <c r="C79" t="str">
        <f>AM5</f>
        <v>I(CT)</v>
      </c>
      <c r="D79" s="51">
        <v>0</v>
      </c>
      <c r="E79" s="51">
        <v>0</v>
      </c>
      <c r="F79" s="51">
        <v>0</v>
      </c>
      <c r="G79" s="8" t="str">
        <f t="shared" si="12"/>
        <v>0000</v>
      </c>
      <c r="H79" s="8" t="str">
        <f t="shared" si="10"/>
        <v>000</v>
      </c>
      <c r="I79" s="8">
        <v>0</v>
      </c>
      <c r="K79" t="str">
        <f t="shared" si="9"/>
        <v>DCW[312](00000000)</v>
      </c>
      <c r="AV79">
        <f t="shared" si="17"/>
        <v>15</v>
      </c>
      <c r="AW79">
        <f t="shared" si="13"/>
        <v>89</v>
      </c>
      <c r="AX79" t="str">
        <f>IF($X$6=3, "V", "I")</f>
        <v>I</v>
      </c>
      <c r="AY79" t="str">
        <f t="shared" si="14"/>
        <v>9A523</v>
      </c>
      <c r="AZ79">
        <v>270</v>
      </c>
      <c r="BA79" t="str">
        <f t="shared" si="15"/>
        <v>30FA41C7</v>
      </c>
      <c r="BB79" s="11" t="str">
        <f t="shared" si="16"/>
        <v>DCW[89](30FA41C7)</v>
      </c>
    </row>
    <row r="80" spans="2:60">
      <c r="B80" s="8">
        <f t="shared" si="11"/>
        <v>31</v>
      </c>
      <c r="C80" t="str">
        <f>AN5</f>
        <v>I(CT)</v>
      </c>
      <c r="D80" s="51">
        <v>0</v>
      </c>
      <c r="E80" s="51">
        <v>0</v>
      </c>
      <c r="F80" s="51">
        <v>0</v>
      </c>
      <c r="G80" s="8" t="str">
        <f t="shared" si="12"/>
        <v>0000</v>
      </c>
      <c r="H80" s="8" t="str">
        <f t="shared" si="10"/>
        <v>000</v>
      </c>
      <c r="I80" s="8">
        <v>0</v>
      </c>
      <c r="K80" t="str">
        <f t="shared" si="9"/>
        <v>DCW[313](00000000)</v>
      </c>
      <c r="AV80">
        <f t="shared" si="17"/>
        <v>16</v>
      </c>
      <c r="AW80">
        <f t="shared" si="13"/>
        <v>90</v>
      </c>
      <c r="AX80" t="str">
        <f>IF($Y$6=3, "V", "I")</f>
        <v>I</v>
      </c>
      <c r="AY80" t="str">
        <f t="shared" si="14"/>
        <v>9A523</v>
      </c>
      <c r="BB80" s="11" t="str">
        <f t="shared" si="16"/>
        <v>DCW[90]()</v>
      </c>
    </row>
    <row r="81" spans="2:54">
      <c r="AV81">
        <f t="shared" si="17"/>
        <v>17</v>
      </c>
      <c r="AW81">
        <f t="shared" si="13"/>
        <v>91</v>
      </c>
      <c r="AX81" t="str">
        <f>IF($Z$6=3, "V", "I")</f>
        <v>I</v>
      </c>
      <c r="AY81" t="str">
        <f t="shared" si="14"/>
        <v>9A523</v>
      </c>
      <c r="BB81" s="11" t="str">
        <f t="shared" si="16"/>
        <v>DCW[91]()</v>
      </c>
    </row>
    <row r="82" spans="2:54">
      <c r="B82" s="14" t="s">
        <v>113</v>
      </c>
      <c r="AV82">
        <f t="shared" si="17"/>
        <v>18</v>
      </c>
      <c r="AW82">
        <f t="shared" si="13"/>
        <v>92</v>
      </c>
      <c r="AX82" t="str">
        <f>IF($AA$6=3, "V", "I")</f>
        <v>I</v>
      </c>
      <c r="AY82" t="str">
        <f t="shared" si="14"/>
        <v>9A523</v>
      </c>
      <c r="BB82" s="11" t="str">
        <f t="shared" si="16"/>
        <v>DCW[92]()</v>
      </c>
    </row>
    <row r="83" spans="2:54">
      <c r="B83" s="14" t="s">
        <v>83</v>
      </c>
      <c r="C83" s="14" t="s">
        <v>84</v>
      </c>
      <c r="D83" s="14" t="s">
        <v>85</v>
      </c>
      <c r="E83" s="10" t="s">
        <v>93</v>
      </c>
      <c r="F83" s="10" t="s">
        <v>102</v>
      </c>
      <c r="G83" s="10" t="s">
        <v>106</v>
      </c>
      <c r="H83" s="10" t="s">
        <v>111</v>
      </c>
      <c r="I83" s="10" t="s">
        <v>112</v>
      </c>
      <c r="J83" s="10" t="s">
        <v>114</v>
      </c>
      <c r="AV83">
        <f t="shared" si="17"/>
        <v>19</v>
      </c>
      <c r="AW83">
        <f t="shared" si="13"/>
        <v>93</v>
      </c>
      <c r="AX83" t="str">
        <f>IF($AB$6=3, "V", "I")</f>
        <v>I</v>
      </c>
      <c r="AY83" t="str">
        <f t="shared" si="14"/>
        <v>9A523</v>
      </c>
      <c r="BB83" s="11" t="str">
        <f t="shared" si="16"/>
        <v>DCW[93]()</v>
      </c>
    </row>
    <row r="84" spans="2:54">
      <c r="B84" s="8">
        <f>B14</f>
        <v>0</v>
      </c>
      <c r="C84" s="8">
        <f>C14</f>
        <v>0</v>
      </c>
      <c r="D84" s="8">
        <f>D14</f>
        <v>1</v>
      </c>
      <c r="E84" s="8" cm="1">
        <f t="array" aca="1" ref="E84" ca="1">INDIRECT("D"&amp;(C84+49))</f>
        <v>100</v>
      </c>
      <c r="F84" s="8" cm="1">
        <f t="array" aca="1" ref="F84" ca="1">INDIRECT("e"&amp;(D84+49))</f>
        <v>1</v>
      </c>
      <c r="G84" s="8" cm="1">
        <f t="array" aca="1" ref="G84" ca="1">INDIRECT("f"&amp;(D84+49))-INDIRECT("f"&amp;(C84+49))</f>
        <v>0</v>
      </c>
      <c r="H84" s="8">
        <f ca="1">E84*F84*COS(RADIANS(G84))</f>
        <v>100</v>
      </c>
      <c r="I84" s="8">
        <f ca="1">E84*F84*SIN(RADIANS(G84))</f>
        <v>0</v>
      </c>
      <c r="J84" s="8">
        <f ca="1">E84*F84</f>
        <v>100</v>
      </c>
      <c r="AV84">
        <f t="shared" si="17"/>
        <v>20</v>
      </c>
      <c r="AW84">
        <f t="shared" si="13"/>
        <v>94</v>
      </c>
      <c r="AX84" t="str">
        <f>IF($AC$6=3, "V", "I")</f>
        <v>I</v>
      </c>
      <c r="AY84" t="str">
        <f t="shared" si="14"/>
        <v>9A523</v>
      </c>
      <c r="BB84" s="11" t="str">
        <f t="shared" si="16"/>
        <v>DCW[94]()</v>
      </c>
    </row>
    <row r="85" spans="2:54">
      <c r="B85" s="8">
        <f t="shared" ref="B85:D100" si="18">B15</f>
        <v>1</v>
      </c>
      <c r="C85" s="8">
        <f t="shared" si="18"/>
        <v>0</v>
      </c>
      <c r="D85" s="8">
        <f t="shared" si="18"/>
        <v>2</v>
      </c>
      <c r="E85" s="8" cm="1">
        <f t="array" aca="1" ref="E85" ca="1">INDIRECT("D"&amp;(C85+49))</f>
        <v>100</v>
      </c>
      <c r="F85" s="8" cm="1">
        <f t="array" aca="1" ref="F85" ca="1">INDIRECT("e"&amp;(D85+49))</f>
        <v>2</v>
      </c>
      <c r="G85" s="8" cm="1">
        <f t="array" aca="1" ref="G85" ca="1">INDIRECT("f"&amp;(D85+49))-INDIRECT("f"&amp;(C85+49))</f>
        <v>0</v>
      </c>
      <c r="H85" s="8">
        <f t="shared" ref="H85:H114" ca="1" si="19">E85*F85*COS(RADIANS(G85))</f>
        <v>200</v>
      </c>
      <c r="I85" s="8">
        <f t="shared" ref="I85:I114" ca="1" si="20">E85*F85*SIN(RADIANS(G85))</f>
        <v>0</v>
      </c>
      <c r="J85" s="8">
        <f t="shared" ref="J85:J114" ca="1" si="21">E85*F85</f>
        <v>200</v>
      </c>
      <c r="AV85">
        <f t="shared" si="17"/>
        <v>21</v>
      </c>
      <c r="AW85">
        <f t="shared" si="13"/>
        <v>95</v>
      </c>
      <c r="AX85" t="str">
        <f>IF($AD$6=3, "V", "I")</f>
        <v>I</v>
      </c>
      <c r="AY85" t="str">
        <f t="shared" si="14"/>
        <v>9A523</v>
      </c>
      <c r="BB85" s="11" t="str">
        <f t="shared" si="16"/>
        <v>DCW[95]()</v>
      </c>
    </row>
    <row r="86" spans="2:54">
      <c r="B86" s="8">
        <f t="shared" si="18"/>
        <v>2</v>
      </c>
      <c r="C86" s="8">
        <f t="shared" si="18"/>
        <v>0</v>
      </c>
      <c r="D86" s="8">
        <f t="shared" si="18"/>
        <v>3</v>
      </c>
      <c r="E86" s="8" cm="1">
        <f t="array" aca="1" ref="E86" ca="1">INDIRECT("D"&amp;(C86+49))</f>
        <v>100</v>
      </c>
      <c r="F86" s="8" cm="1">
        <f t="array" aca="1" ref="F86" ca="1">INDIRECT("e"&amp;(D86+49))</f>
        <v>100</v>
      </c>
      <c r="G86" s="8" cm="1">
        <f t="array" aca="1" ref="G86" ca="1">INDIRECT("f"&amp;(D86+49))-INDIRECT("f"&amp;(C86+49))</f>
        <v>0</v>
      </c>
      <c r="H86" s="8">
        <f t="shared" ca="1" si="19"/>
        <v>10000</v>
      </c>
      <c r="I86" s="8">
        <f t="shared" ca="1" si="20"/>
        <v>0</v>
      </c>
      <c r="J86" s="8">
        <f t="shared" ca="1" si="21"/>
        <v>10000</v>
      </c>
      <c r="AV86">
        <f t="shared" si="17"/>
        <v>22</v>
      </c>
      <c r="AW86">
        <f t="shared" si="13"/>
        <v>96</v>
      </c>
      <c r="AX86" t="str">
        <f>IF($AE$6=3, "V", "I")</f>
        <v>I</v>
      </c>
      <c r="AY86" t="str">
        <f t="shared" si="14"/>
        <v>9A523</v>
      </c>
      <c r="BB86" s="11" t="str">
        <f t="shared" si="16"/>
        <v>DCW[96]()</v>
      </c>
    </row>
    <row r="87" spans="2:54">
      <c r="B87" s="8">
        <f t="shared" si="18"/>
        <v>3</v>
      </c>
      <c r="C87" s="8">
        <f t="shared" si="18"/>
        <v>0</v>
      </c>
      <c r="D87" s="8">
        <f t="shared" si="18"/>
        <v>4</v>
      </c>
      <c r="E87" s="8" cm="1">
        <f t="array" aca="1" ref="E87" ca="1">INDIRECT("D"&amp;(C87+49))</f>
        <v>100</v>
      </c>
      <c r="F87" s="8" cm="1">
        <f t="array" aca="1" ref="F87" ca="1">INDIRECT("e"&amp;(D87+49))</f>
        <v>200</v>
      </c>
      <c r="G87" s="8" cm="1">
        <f t="array" aca="1" ref="G87" ca="1">INDIRECT("f"&amp;(D87+49))-INDIRECT("f"&amp;(C87+49))</f>
        <v>0</v>
      </c>
      <c r="H87" s="8">
        <f t="shared" ca="1" si="19"/>
        <v>20000</v>
      </c>
      <c r="I87" s="8">
        <f t="shared" ca="1" si="20"/>
        <v>0</v>
      </c>
      <c r="J87" s="8">
        <f t="shared" ca="1" si="21"/>
        <v>20000</v>
      </c>
      <c r="AV87">
        <f t="shared" si="17"/>
        <v>23</v>
      </c>
      <c r="AW87">
        <f t="shared" si="13"/>
        <v>97</v>
      </c>
      <c r="AX87" t="str">
        <f>IF($AF$6=3, "V", "I")</f>
        <v>I</v>
      </c>
      <c r="AY87" t="str">
        <f t="shared" si="14"/>
        <v>9A523</v>
      </c>
      <c r="BB87" s="11" t="str">
        <f t="shared" si="16"/>
        <v>DCW[97]()</v>
      </c>
    </row>
    <row r="88" spans="2:54">
      <c r="B88" s="8">
        <f t="shared" si="18"/>
        <v>4</v>
      </c>
      <c r="C88" s="8">
        <f t="shared" si="18"/>
        <v>0</v>
      </c>
      <c r="D88" s="8">
        <f t="shared" si="18"/>
        <v>5</v>
      </c>
      <c r="E88" s="8" cm="1">
        <f t="array" aca="1" ref="E88" ca="1">INDIRECT("D"&amp;(C88+49))</f>
        <v>100</v>
      </c>
      <c r="F88" s="8" cm="1">
        <f t="array" aca="1" ref="F88" ca="1">INDIRECT("e"&amp;(D88+49))</f>
        <v>400</v>
      </c>
      <c r="G88" s="8" cm="1">
        <f t="array" aca="1" ref="G88" ca="1">INDIRECT("f"&amp;(D88+49))-INDIRECT("f"&amp;(C88+49))</f>
        <v>0</v>
      </c>
      <c r="H88" s="8">
        <f t="shared" ca="1" si="19"/>
        <v>40000</v>
      </c>
      <c r="I88" s="8">
        <f t="shared" ca="1" si="20"/>
        <v>0</v>
      </c>
      <c r="J88" s="8">
        <f t="shared" ca="1" si="21"/>
        <v>40000</v>
      </c>
      <c r="AV88">
        <f t="shared" si="17"/>
        <v>24</v>
      </c>
      <c r="AW88">
        <f t="shared" si="13"/>
        <v>98</v>
      </c>
      <c r="AX88" t="str">
        <f>IF($AG$6=3, "V", "I")</f>
        <v>I</v>
      </c>
      <c r="AY88" t="str">
        <f t="shared" si="14"/>
        <v>9A523</v>
      </c>
      <c r="BB88" s="11" t="str">
        <f t="shared" si="16"/>
        <v>DCW[98]()</v>
      </c>
    </row>
    <row r="89" spans="2:54">
      <c r="B89" s="8">
        <f t="shared" si="18"/>
        <v>5</v>
      </c>
      <c r="C89" s="8">
        <f t="shared" si="18"/>
        <v>6</v>
      </c>
      <c r="D89" s="8">
        <f t="shared" si="18"/>
        <v>7</v>
      </c>
      <c r="E89" s="8" cm="1">
        <f t="array" aca="1" ref="E89" ca="1">INDIRECT("D"&amp;(C89+49))</f>
        <v>25</v>
      </c>
      <c r="F89" s="8" cm="1">
        <f t="array" aca="1" ref="F89" ca="1">INDIRECT("e"&amp;(D89+49))</f>
        <v>6</v>
      </c>
      <c r="G89" s="8" cm="1">
        <f t="array" aca="1" ref="G89" ca="1">INDIRECT("f"&amp;(D89+49))-INDIRECT("f"&amp;(C89+49))</f>
        <v>140</v>
      </c>
      <c r="H89" s="8">
        <f t="shared" ca="1" si="19"/>
        <v>-114.90666646784669</v>
      </c>
      <c r="I89" s="8">
        <f t="shared" ca="1" si="20"/>
        <v>96.418141452980919</v>
      </c>
      <c r="J89" s="8">
        <f t="shared" ca="1" si="21"/>
        <v>150</v>
      </c>
      <c r="AV89">
        <f t="shared" si="17"/>
        <v>25</v>
      </c>
      <c r="AW89">
        <f t="shared" si="13"/>
        <v>99</v>
      </c>
      <c r="AX89" t="str">
        <f>IF($AH$6=3, "V", "I")</f>
        <v>I</v>
      </c>
      <c r="AY89" t="str">
        <f t="shared" si="14"/>
        <v>9A523</v>
      </c>
      <c r="BB89" s="11" t="str">
        <f t="shared" si="16"/>
        <v>DCW[99]()</v>
      </c>
    </row>
    <row r="90" spans="2:54">
      <c r="B90" s="8">
        <f t="shared" si="18"/>
        <v>6</v>
      </c>
      <c r="C90" s="8">
        <f t="shared" si="18"/>
        <v>6</v>
      </c>
      <c r="D90" s="8">
        <f t="shared" si="18"/>
        <v>8</v>
      </c>
      <c r="E90" s="8" cm="1">
        <f t="array" aca="1" ref="E90" ca="1">INDIRECT("D"&amp;(C90+49))</f>
        <v>25</v>
      </c>
      <c r="F90" s="8" cm="1">
        <f t="array" aca="1" ref="F90" ca="1">INDIRECT("e"&amp;(D90+49))</f>
        <v>7</v>
      </c>
      <c r="G90" s="8" cm="1">
        <f t="array" aca="1" ref="G90" ca="1">INDIRECT("f"&amp;(D90+49))-INDIRECT("f"&amp;(C90+49))</f>
        <v>160</v>
      </c>
      <c r="H90" s="8">
        <f t="shared" ca="1" si="19"/>
        <v>-164.44620863753394</v>
      </c>
      <c r="I90" s="8">
        <f t="shared" ca="1" si="20"/>
        <v>59.853525081992053</v>
      </c>
      <c r="J90" s="8">
        <f t="shared" ca="1" si="21"/>
        <v>175</v>
      </c>
      <c r="AV90">
        <f t="shared" si="17"/>
        <v>26</v>
      </c>
      <c r="AW90">
        <f t="shared" si="13"/>
        <v>100</v>
      </c>
      <c r="AX90" t="str">
        <f>IF($AI$6=3, "V", "I")</f>
        <v>I</v>
      </c>
      <c r="AY90" t="str">
        <f t="shared" si="14"/>
        <v>9A523</v>
      </c>
      <c r="BB90" s="11" t="str">
        <f t="shared" si="16"/>
        <v>DCW[100]()</v>
      </c>
    </row>
    <row r="91" spans="2:54">
      <c r="B91" s="8">
        <f t="shared" si="18"/>
        <v>7</v>
      </c>
      <c r="C91" s="8">
        <f t="shared" si="18"/>
        <v>6</v>
      </c>
      <c r="D91" s="8">
        <f t="shared" si="18"/>
        <v>9</v>
      </c>
      <c r="E91" s="8" cm="1">
        <f t="array" aca="1" ref="E91" ca="1">INDIRECT("D"&amp;(C91+49))</f>
        <v>25</v>
      </c>
      <c r="F91" s="8" cm="1">
        <f t="array" aca="1" ref="F91" ca="1">INDIRECT("e"&amp;(D91+49))</f>
        <v>8</v>
      </c>
      <c r="G91" s="8" cm="1">
        <f t="array" aca="1" ref="G91" ca="1">INDIRECT("f"&amp;(D91+49))-INDIRECT("f"&amp;(C91+49))</f>
        <v>180</v>
      </c>
      <c r="H91" s="8">
        <f t="shared" ca="1" si="19"/>
        <v>-200</v>
      </c>
      <c r="I91" s="8">
        <f t="shared" ca="1" si="20"/>
        <v>2.45029690981724E-14</v>
      </c>
      <c r="J91" s="8">
        <f t="shared" ca="1" si="21"/>
        <v>200</v>
      </c>
      <c r="AV91">
        <f t="shared" si="17"/>
        <v>27</v>
      </c>
      <c r="AW91">
        <f t="shared" si="13"/>
        <v>101</v>
      </c>
      <c r="AX91" t="str">
        <f>IF($AJ$6=3, "V", "I")</f>
        <v>I</v>
      </c>
      <c r="AY91" t="str">
        <f t="shared" si="14"/>
        <v>9A523</v>
      </c>
      <c r="BB91" s="11" t="str">
        <f t="shared" si="16"/>
        <v>DCW[101]()</v>
      </c>
    </row>
    <row r="92" spans="2:54">
      <c r="B92" s="8">
        <f t="shared" si="18"/>
        <v>8</v>
      </c>
      <c r="C92" s="8">
        <f t="shared" si="18"/>
        <v>6</v>
      </c>
      <c r="D92" s="8">
        <f t="shared" si="18"/>
        <v>10</v>
      </c>
      <c r="E92" s="8" cm="1">
        <f t="array" aca="1" ref="E92" ca="1">INDIRECT("D"&amp;(C92+49))</f>
        <v>25</v>
      </c>
      <c r="F92" s="8" cm="1">
        <f t="array" aca="1" ref="F92" ca="1">INDIRECT("e"&amp;(D92+49))</f>
        <v>9</v>
      </c>
      <c r="G92" s="8" cm="1">
        <f t="array" aca="1" ref="G92" ca="1">INDIRECT("f"&amp;(D92+49))-INDIRECT("f"&amp;(C92+49))</f>
        <v>200</v>
      </c>
      <c r="H92" s="8">
        <f t="shared" ca="1" si="19"/>
        <v>-211.43083967682941</v>
      </c>
      <c r="I92" s="8">
        <f t="shared" ca="1" si="20"/>
        <v>-76.954532248275441</v>
      </c>
      <c r="J92" s="8">
        <f t="shared" ca="1" si="21"/>
        <v>225</v>
      </c>
      <c r="AV92">
        <f t="shared" si="17"/>
        <v>28</v>
      </c>
      <c r="AW92">
        <f t="shared" si="13"/>
        <v>102</v>
      </c>
      <c r="AX92" t="str">
        <f>IF($AK$6=3, "V", "I")</f>
        <v>I</v>
      </c>
      <c r="AY92" t="str">
        <f t="shared" si="14"/>
        <v>9A523</v>
      </c>
      <c r="BB92" s="11" t="str">
        <f t="shared" si="16"/>
        <v>DCW[102]()</v>
      </c>
    </row>
    <row r="93" spans="2:54">
      <c r="B93" s="8">
        <f t="shared" si="18"/>
        <v>9</v>
      </c>
      <c r="C93" s="8">
        <f t="shared" si="18"/>
        <v>11</v>
      </c>
      <c r="D93" s="8">
        <f t="shared" si="18"/>
        <v>12</v>
      </c>
      <c r="E93" s="8" cm="1">
        <f t="array" aca="1" ref="E93" ca="1">INDIRECT("D"&amp;(C93+49))</f>
        <v>30</v>
      </c>
      <c r="F93" s="8" cm="1">
        <f t="array" aca="1" ref="F93" ca="1">INDIRECT("e"&amp;(D93+49))</f>
        <v>10</v>
      </c>
      <c r="G93" s="8" cm="1">
        <f t="array" aca="1" ref="G93" ca="1">INDIRECT("f"&amp;(D93+49))-INDIRECT("f"&amp;(C93+49))</f>
        <v>140</v>
      </c>
      <c r="H93" s="8">
        <f t="shared" ca="1" si="19"/>
        <v>-229.81333293569338</v>
      </c>
      <c r="I93" s="8">
        <f t="shared" ca="1" si="20"/>
        <v>192.83628290596184</v>
      </c>
      <c r="J93" s="8">
        <f t="shared" ca="1" si="21"/>
        <v>300</v>
      </c>
      <c r="AV93">
        <f t="shared" si="17"/>
        <v>29</v>
      </c>
      <c r="AW93">
        <f t="shared" si="13"/>
        <v>103</v>
      </c>
      <c r="AX93" t="str">
        <f>IF($AL$6=3, "V", "I")</f>
        <v>I</v>
      </c>
      <c r="AY93" t="str">
        <f t="shared" si="14"/>
        <v>9A523</v>
      </c>
      <c r="BB93" s="11" t="str">
        <f t="shared" si="16"/>
        <v>DCW[103]()</v>
      </c>
    </row>
    <row r="94" spans="2:54">
      <c r="B94" s="8">
        <f t="shared" si="18"/>
        <v>10</v>
      </c>
      <c r="C94" s="8">
        <f t="shared" si="18"/>
        <v>11</v>
      </c>
      <c r="D94" s="8">
        <f t="shared" si="18"/>
        <v>13</v>
      </c>
      <c r="E94" s="8" cm="1">
        <f t="array" aca="1" ref="E94" ca="1">INDIRECT("D"&amp;(C94+49))</f>
        <v>30</v>
      </c>
      <c r="F94" s="8" cm="1">
        <f t="array" aca="1" ref="F94" ca="1">INDIRECT("e"&amp;(D94+49))</f>
        <v>11</v>
      </c>
      <c r="G94" s="8" cm="1">
        <f t="array" aca="1" ref="G94" ca="1">INDIRECT("f"&amp;(D94+49))-INDIRECT("f"&amp;(C94+49))</f>
        <v>160</v>
      </c>
      <c r="H94" s="8">
        <f t="shared" ca="1" si="19"/>
        <v>-310.09856485934972</v>
      </c>
      <c r="I94" s="8">
        <f t="shared" ca="1" si="20"/>
        <v>112.86664729747073</v>
      </c>
      <c r="J94" s="8">
        <f t="shared" ca="1" si="21"/>
        <v>330</v>
      </c>
      <c r="AV94">
        <f>1+AV93</f>
        <v>30</v>
      </c>
      <c r="AW94">
        <f t="shared" si="13"/>
        <v>104</v>
      </c>
      <c r="AX94" t="str">
        <f>IF($AM$6=3, "V", "I")</f>
        <v>I</v>
      </c>
      <c r="AY94" t="str">
        <f t="shared" si="14"/>
        <v>9A523</v>
      </c>
      <c r="BB94" s="11" t="str">
        <f t="shared" si="16"/>
        <v>DCW[104]()</v>
      </c>
    </row>
    <row r="95" spans="2:54">
      <c r="B95" s="8">
        <f t="shared" si="18"/>
        <v>11</v>
      </c>
      <c r="C95" s="8">
        <f t="shared" si="18"/>
        <v>11</v>
      </c>
      <c r="D95" s="8">
        <f t="shared" si="18"/>
        <v>14</v>
      </c>
      <c r="E95" s="8" cm="1">
        <f t="array" aca="1" ref="E95" ca="1">INDIRECT("D"&amp;(C95+49))</f>
        <v>30</v>
      </c>
      <c r="F95" s="8" cm="1">
        <f t="array" aca="1" ref="F95" ca="1">INDIRECT("e"&amp;(D95+49))</f>
        <v>12</v>
      </c>
      <c r="G95" s="8" cm="1">
        <f t="array" aca="1" ref="G95" ca="1">INDIRECT("f"&amp;(D95+49))-INDIRECT("f"&amp;(C95+49))</f>
        <v>180</v>
      </c>
      <c r="H95" s="8">
        <f t="shared" ca="1" si="19"/>
        <v>-360</v>
      </c>
      <c r="I95" s="8">
        <f t="shared" ca="1" si="20"/>
        <v>4.410534437671032E-14</v>
      </c>
      <c r="J95" s="8">
        <f t="shared" ca="1" si="21"/>
        <v>360</v>
      </c>
      <c r="AV95">
        <f>1+AV94</f>
        <v>31</v>
      </c>
      <c r="AW95">
        <f t="shared" si="13"/>
        <v>105</v>
      </c>
      <c r="AX95" t="str">
        <f>IF($AN$6=3, "V", "I")</f>
        <v>I</v>
      </c>
      <c r="AY95" t="str">
        <f t="shared" si="14"/>
        <v>9A523</v>
      </c>
      <c r="BB95" s="11" t="str">
        <f t="shared" si="16"/>
        <v>DCW[105]()</v>
      </c>
    </row>
    <row r="96" spans="2:54">
      <c r="B96" s="8">
        <f t="shared" si="18"/>
        <v>12</v>
      </c>
      <c r="C96" s="8">
        <f t="shared" si="18"/>
        <v>11</v>
      </c>
      <c r="D96" s="8">
        <f t="shared" si="18"/>
        <v>15</v>
      </c>
      <c r="E96" s="8" cm="1">
        <f t="array" aca="1" ref="E96" ca="1">INDIRECT("D"&amp;(C96+49))</f>
        <v>30</v>
      </c>
      <c r="F96" s="8" cm="1">
        <f t="array" aca="1" ref="F96" ca="1">INDIRECT("e"&amp;(D96+49))</f>
        <v>13</v>
      </c>
      <c r="G96" s="8" cm="1">
        <f t="array" aca="1" ref="G96" ca="1">INDIRECT("f"&amp;(D96+49))-INDIRECT("f"&amp;(C96+49))</f>
        <v>200</v>
      </c>
      <c r="H96" s="8">
        <f t="shared" ca="1" si="19"/>
        <v>-366.48012210650427</v>
      </c>
      <c r="I96" s="8">
        <f t="shared" ca="1" si="20"/>
        <v>-133.38785589701078</v>
      </c>
      <c r="J96" s="8">
        <f t="shared" ca="1" si="21"/>
        <v>390</v>
      </c>
    </row>
    <row r="97" spans="2:10">
      <c r="B97" s="8">
        <f t="shared" si="18"/>
        <v>13</v>
      </c>
      <c r="C97" s="8">
        <f t="shared" si="18"/>
        <v>0</v>
      </c>
      <c r="D97" s="8">
        <f t="shared" si="18"/>
        <v>0</v>
      </c>
      <c r="E97" s="8" cm="1">
        <f t="array" aca="1" ref="E97" ca="1">INDIRECT("D"&amp;(C97+49))</f>
        <v>100</v>
      </c>
      <c r="F97" s="8" cm="1">
        <f t="array" aca="1" ref="F97" ca="1">INDIRECT("e"&amp;(D97+49))</f>
        <v>0</v>
      </c>
      <c r="G97" s="8" cm="1">
        <f t="array" aca="1" ref="G97" ca="1">INDIRECT("f"&amp;(D97+49))-INDIRECT("f"&amp;(C97+49))</f>
        <v>0</v>
      </c>
      <c r="H97" s="8">
        <f t="shared" ca="1" si="19"/>
        <v>0</v>
      </c>
      <c r="I97" s="8">
        <f t="shared" ca="1" si="20"/>
        <v>0</v>
      </c>
      <c r="J97" s="8">
        <f t="shared" ca="1" si="21"/>
        <v>0</v>
      </c>
    </row>
    <row r="98" spans="2:10">
      <c r="B98" s="8">
        <f t="shared" si="18"/>
        <v>14</v>
      </c>
      <c r="C98" s="8">
        <f t="shared" si="18"/>
        <v>5</v>
      </c>
      <c r="D98" s="8">
        <f t="shared" si="18"/>
        <v>15</v>
      </c>
      <c r="E98" s="8" cm="1">
        <f t="array" aca="1" ref="E98" ca="1">INDIRECT("D"&amp;(C98+49))</f>
        <v>0</v>
      </c>
      <c r="F98" s="8" cm="1">
        <f t="array" aca="1" ref="F98" ca="1">INDIRECT("e"&amp;(D98+49))</f>
        <v>13</v>
      </c>
      <c r="G98" s="8" cm="1">
        <f t="array" aca="1" ref="G98" ca="1">INDIRECT("f"&amp;(D98+49))-INDIRECT("f"&amp;(C98+49))</f>
        <v>320</v>
      </c>
      <c r="H98" s="8">
        <f t="shared" ca="1" si="19"/>
        <v>0</v>
      </c>
      <c r="I98" s="8">
        <f t="shared" ca="1" si="20"/>
        <v>0</v>
      </c>
      <c r="J98" s="8">
        <f t="shared" ca="1" si="21"/>
        <v>0</v>
      </c>
    </row>
    <row r="99" spans="2:10">
      <c r="B99" s="8">
        <f t="shared" si="18"/>
        <v>15</v>
      </c>
      <c r="C99" s="8">
        <f t="shared" si="18"/>
        <v>5</v>
      </c>
      <c r="D99" s="8">
        <f t="shared" si="18"/>
        <v>16</v>
      </c>
      <c r="E99" s="8" cm="1">
        <f t="array" aca="1" ref="E99" ca="1">INDIRECT("D"&amp;(C99+49))</f>
        <v>0</v>
      </c>
      <c r="F99" s="8" cm="1">
        <f t="array" aca="1" ref="F99" ca="1">INDIRECT("e"&amp;(D99+49))</f>
        <v>0</v>
      </c>
      <c r="G99" s="8" cm="1">
        <f t="array" aca="1" ref="G99" ca="1">INDIRECT("f"&amp;(D99+49))-INDIRECT("f"&amp;(C99+49))</f>
        <v>0</v>
      </c>
      <c r="H99" s="8">
        <f t="shared" ca="1" si="19"/>
        <v>0</v>
      </c>
      <c r="I99" s="8">
        <f t="shared" ca="1" si="20"/>
        <v>0</v>
      </c>
      <c r="J99" s="8">
        <f t="shared" ca="1" si="21"/>
        <v>0</v>
      </c>
    </row>
    <row r="100" spans="2:10">
      <c r="B100" s="8">
        <f t="shared" si="18"/>
        <v>16</v>
      </c>
      <c r="C100" s="8">
        <f t="shared" si="18"/>
        <v>5</v>
      </c>
      <c r="D100" s="8">
        <f t="shared" si="18"/>
        <v>17</v>
      </c>
      <c r="E100" s="8" cm="1">
        <f t="array" aca="1" ref="E100" ca="1">INDIRECT("D"&amp;(C100+49))</f>
        <v>0</v>
      </c>
      <c r="F100" s="8" cm="1">
        <f t="array" aca="1" ref="F100" ca="1">INDIRECT("e"&amp;(D100+49))</f>
        <v>0</v>
      </c>
      <c r="G100" s="8" cm="1">
        <f t="array" aca="1" ref="G100" ca="1">INDIRECT("f"&amp;(D100+49))-INDIRECT("f"&amp;(C100+49))</f>
        <v>0</v>
      </c>
      <c r="H100" s="8">
        <f t="shared" ca="1" si="19"/>
        <v>0</v>
      </c>
      <c r="I100" s="8">
        <f t="shared" ca="1" si="20"/>
        <v>0</v>
      </c>
      <c r="J100" s="8">
        <f t="shared" ca="1" si="21"/>
        <v>0</v>
      </c>
    </row>
    <row r="101" spans="2:10">
      <c r="B101" s="8">
        <f t="shared" ref="B101:D114" si="22">B31</f>
        <v>17</v>
      </c>
      <c r="C101" s="8">
        <f t="shared" si="22"/>
        <v>11</v>
      </c>
      <c r="D101" s="8">
        <f t="shared" si="22"/>
        <v>18</v>
      </c>
      <c r="E101" s="8" cm="1">
        <f t="array" aca="1" ref="E101" ca="1">INDIRECT("D"&amp;(C101+49))</f>
        <v>30</v>
      </c>
      <c r="F101" s="8" cm="1">
        <f t="array" aca="1" ref="F101" ca="1">INDIRECT("e"&amp;(D101+49))</f>
        <v>0</v>
      </c>
      <c r="G101" s="8" cm="1">
        <f t="array" aca="1" ref="G101" ca="1">INDIRECT("f"&amp;(D101+49))-INDIRECT("f"&amp;(C101+49))</f>
        <v>-120</v>
      </c>
      <c r="H101" s="8">
        <f t="shared" ca="1" si="19"/>
        <v>0</v>
      </c>
      <c r="I101" s="8">
        <f t="shared" ca="1" si="20"/>
        <v>0</v>
      </c>
      <c r="J101" s="8">
        <f t="shared" ca="1" si="21"/>
        <v>0</v>
      </c>
    </row>
    <row r="102" spans="2:10">
      <c r="B102" s="8">
        <f t="shared" si="22"/>
        <v>18</v>
      </c>
      <c r="C102" s="8">
        <f t="shared" si="22"/>
        <v>11</v>
      </c>
      <c r="D102" s="8">
        <f t="shared" si="22"/>
        <v>19</v>
      </c>
      <c r="E102" s="8" cm="1">
        <f t="array" aca="1" ref="E102" ca="1">INDIRECT("D"&amp;(C102+49))</f>
        <v>30</v>
      </c>
      <c r="F102" s="8" cm="1">
        <f t="array" aca="1" ref="F102" ca="1">INDIRECT("e"&amp;(D102+49))</f>
        <v>0</v>
      </c>
      <c r="G102" s="8" cm="1">
        <f t="array" aca="1" ref="G102" ca="1">INDIRECT("f"&amp;(D102+49))-INDIRECT("f"&amp;(C102+49))</f>
        <v>-120</v>
      </c>
      <c r="H102" s="8">
        <f t="shared" ca="1" si="19"/>
        <v>0</v>
      </c>
      <c r="I102" s="8">
        <f t="shared" ca="1" si="20"/>
        <v>0</v>
      </c>
      <c r="J102" s="8">
        <f t="shared" ca="1" si="21"/>
        <v>0</v>
      </c>
    </row>
    <row r="103" spans="2:10">
      <c r="B103" s="8">
        <f t="shared" si="22"/>
        <v>19</v>
      </c>
      <c r="C103" s="8">
        <f t="shared" si="22"/>
        <v>11</v>
      </c>
      <c r="D103" s="8">
        <f t="shared" si="22"/>
        <v>20</v>
      </c>
      <c r="E103" s="8" cm="1">
        <f t="array" aca="1" ref="E103" ca="1">INDIRECT("D"&amp;(C103+49))</f>
        <v>30</v>
      </c>
      <c r="F103" s="8" cm="1">
        <f t="array" aca="1" ref="F103" ca="1">INDIRECT("e"&amp;(D103+49))</f>
        <v>0</v>
      </c>
      <c r="G103" s="8" cm="1">
        <f t="array" aca="1" ref="G103" ca="1">INDIRECT("f"&amp;(D103+49))-INDIRECT("f"&amp;(C103+49))</f>
        <v>-120</v>
      </c>
      <c r="H103" s="8">
        <f t="shared" ca="1" si="19"/>
        <v>0</v>
      </c>
      <c r="I103" s="8">
        <f t="shared" ca="1" si="20"/>
        <v>0</v>
      </c>
      <c r="J103" s="8">
        <f t="shared" ca="1" si="21"/>
        <v>0</v>
      </c>
    </row>
    <row r="104" spans="2:10">
      <c r="B104" s="8">
        <f t="shared" si="22"/>
        <v>20</v>
      </c>
      <c r="C104" s="8">
        <f t="shared" si="22"/>
        <v>11</v>
      </c>
      <c r="D104" s="8">
        <f t="shared" si="22"/>
        <v>21</v>
      </c>
      <c r="E104" s="8" cm="1">
        <f t="array" aca="1" ref="E104" ca="1">INDIRECT("D"&amp;(C104+49))</f>
        <v>30</v>
      </c>
      <c r="F104" s="8" cm="1">
        <f t="array" aca="1" ref="F104" ca="1">INDIRECT("e"&amp;(D104+49))</f>
        <v>0</v>
      </c>
      <c r="G104" s="8" cm="1">
        <f t="array" aca="1" ref="G104" ca="1">INDIRECT("f"&amp;(D104+49))-INDIRECT("f"&amp;(C104+49))</f>
        <v>-120</v>
      </c>
      <c r="H104" s="8">
        <f t="shared" ca="1" si="19"/>
        <v>0</v>
      </c>
      <c r="I104" s="8">
        <f t="shared" ca="1" si="20"/>
        <v>0</v>
      </c>
      <c r="J104" s="8">
        <f t="shared" ca="1" si="21"/>
        <v>0</v>
      </c>
    </row>
    <row r="105" spans="2:10">
      <c r="B105" s="8">
        <f t="shared" si="22"/>
        <v>21</v>
      </c>
      <c r="C105" s="8">
        <f t="shared" si="22"/>
        <v>11</v>
      </c>
      <c r="D105" s="8">
        <f t="shared" si="22"/>
        <v>22</v>
      </c>
      <c r="E105" s="8" cm="1">
        <f t="array" aca="1" ref="E105" ca="1">INDIRECT("D"&amp;(C105+49))</f>
        <v>30</v>
      </c>
      <c r="F105" s="8" cm="1">
        <f t="array" aca="1" ref="F105" ca="1">INDIRECT("e"&amp;(D105+49))</f>
        <v>0</v>
      </c>
      <c r="G105" s="8" cm="1">
        <f t="array" aca="1" ref="G105" ca="1">INDIRECT("f"&amp;(D105+49))-INDIRECT("f"&amp;(C105+49))</f>
        <v>-120</v>
      </c>
      <c r="H105" s="8">
        <f t="shared" ca="1" si="19"/>
        <v>0</v>
      </c>
      <c r="I105" s="8">
        <f t="shared" ca="1" si="20"/>
        <v>0</v>
      </c>
      <c r="J105" s="8">
        <f t="shared" ca="1" si="21"/>
        <v>0</v>
      </c>
    </row>
    <row r="106" spans="2:10">
      <c r="B106" s="8">
        <f t="shared" si="22"/>
        <v>22</v>
      </c>
      <c r="C106" s="8">
        <f t="shared" si="22"/>
        <v>11</v>
      </c>
      <c r="D106" s="8">
        <f t="shared" si="22"/>
        <v>23</v>
      </c>
      <c r="E106" s="8" cm="1">
        <f t="array" aca="1" ref="E106" ca="1">INDIRECT("D"&amp;(C106+49))</f>
        <v>30</v>
      </c>
      <c r="F106" s="8" cm="1">
        <f t="array" aca="1" ref="F106" ca="1">INDIRECT("e"&amp;(D106+49))</f>
        <v>0</v>
      </c>
      <c r="G106" s="8" cm="1">
        <f t="array" aca="1" ref="G106" ca="1">INDIRECT("f"&amp;(D106+49))-INDIRECT("f"&amp;(C106+49))</f>
        <v>-120</v>
      </c>
      <c r="H106" s="8">
        <f t="shared" ca="1" si="19"/>
        <v>0</v>
      </c>
      <c r="I106" s="8">
        <f t="shared" ca="1" si="20"/>
        <v>0</v>
      </c>
      <c r="J106" s="8">
        <f t="shared" ca="1" si="21"/>
        <v>0</v>
      </c>
    </row>
    <row r="107" spans="2:10">
      <c r="B107" s="8">
        <f t="shared" si="22"/>
        <v>23</v>
      </c>
      <c r="C107" s="8">
        <f t="shared" si="22"/>
        <v>11</v>
      </c>
      <c r="D107" s="8">
        <f t="shared" si="22"/>
        <v>24</v>
      </c>
      <c r="E107" s="8" cm="1">
        <f t="array" aca="1" ref="E107" ca="1">INDIRECT("D"&amp;(C107+49))</f>
        <v>30</v>
      </c>
      <c r="F107" s="8" cm="1">
        <f t="array" aca="1" ref="F107" ca="1">INDIRECT("e"&amp;(D107+49))</f>
        <v>0</v>
      </c>
      <c r="G107" s="8" cm="1">
        <f t="array" aca="1" ref="G107" ca="1">INDIRECT("f"&amp;(D107+49))-INDIRECT("f"&amp;(C107+49))</f>
        <v>-120</v>
      </c>
      <c r="H107" s="8">
        <f t="shared" ca="1" si="19"/>
        <v>0</v>
      </c>
      <c r="I107" s="8">
        <f t="shared" ca="1" si="20"/>
        <v>0</v>
      </c>
      <c r="J107" s="8">
        <f t="shared" ca="1" si="21"/>
        <v>0</v>
      </c>
    </row>
    <row r="108" spans="2:10">
      <c r="B108" s="8">
        <f t="shared" si="22"/>
        <v>24</v>
      </c>
      <c r="C108" s="8">
        <f t="shared" si="22"/>
        <v>11</v>
      </c>
      <c r="D108" s="8">
        <f t="shared" si="22"/>
        <v>25</v>
      </c>
      <c r="E108" s="8" cm="1">
        <f t="array" aca="1" ref="E108" ca="1">INDIRECT("D"&amp;(C108+49))</f>
        <v>30</v>
      </c>
      <c r="F108" s="8" cm="1">
        <f t="array" aca="1" ref="F108" ca="1">INDIRECT("e"&amp;(D108+49))</f>
        <v>0</v>
      </c>
      <c r="G108" s="8" cm="1">
        <f t="array" aca="1" ref="G108" ca="1">INDIRECT("f"&amp;(D108+49))-INDIRECT("f"&amp;(C108+49))</f>
        <v>-120</v>
      </c>
      <c r="H108" s="8">
        <f t="shared" ca="1" si="19"/>
        <v>0</v>
      </c>
      <c r="I108" s="8">
        <f t="shared" ca="1" si="20"/>
        <v>0</v>
      </c>
      <c r="J108" s="8">
        <f t="shared" ca="1" si="21"/>
        <v>0</v>
      </c>
    </row>
    <row r="109" spans="2:10">
      <c r="B109" s="8">
        <f t="shared" si="22"/>
        <v>25</v>
      </c>
      <c r="C109" s="8">
        <f t="shared" si="22"/>
        <v>11</v>
      </c>
      <c r="D109" s="8">
        <f t="shared" si="22"/>
        <v>26</v>
      </c>
      <c r="E109" s="8" cm="1">
        <f t="array" aca="1" ref="E109" ca="1">INDIRECT("D"&amp;(C109+49))</f>
        <v>30</v>
      </c>
      <c r="F109" s="8" cm="1">
        <f t="array" aca="1" ref="F109" ca="1">INDIRECT("e"&amp;(D109+49))</f>
        <v>0</v>
      </c>
      <c r="G109" s="8" cm="1">
        <f t="array" aca="1" ref="G109" ca="1">INDIRECT("f"&amp;(D109+49))-INDIRECT("f"&amp;(C109+49))</f>
        <v>-120</v>
      </c>
      <c r="H109" s="8">
        <f t="shared" ca="1" si="19"/>
        <v>0</v>
      </c>
      <c r="I109" s="8">
        <f t="shared" ca="1" si="20"/>
        <v>0</v>
      </c>
      <c r="J109" s="8">
        <f t="shared" ca="1" si="21"/>
        <v>0</v>
      </c>
    </row>
    <row r="110" spans="2:10">
      <c r="B110" s="8">
        <f t="shared" si="22"/>
        <v>26</v>
      </c>
      <c r="C110" s="8">
        <f t="shared" si="22"/>
        <v>11</v>
      </c>
      <c r="D110" s="8">
        <f t="shared" si="22"/>
        <v>27</v>
      </c>
      <c r="E110" s="8" cm="1">
        <f t="array" aca="1" ref="E110" ca="1">INDIRECT("D"&amp;(C110+49))</f>
        <v>30</v>
      </c>
      <c r="F110" s="8" cm="1">
        <f t="array" aca="1" ref="F110" ca="1">INDIRECT("e"&amp;(D110+49))</f>
        <v>0</v>
      </c>
      <c r="G110" s="8" cm="1">
        <f t="array" aca="1" ref="G110" ca="1">INDIRECT("f"&amp;(D110+49))-INDIRECT("f"&amp;(C110+49))</f>
        <v>-120</v>
      </c>
      <c r="H110" s="8">
        <f t="shared" ca="1" si="19"/>
        <v>0</v>
      </c>
      <c r="I110" s="8">
        <f t="shared" ca="1" si="20"/>
        <v>0</v>
      </c>
      <c r="J110" s="8">
        <f t="shared" ca="1" si="21"/>
        <v>0</v>
      </c>
    </row>
    <row r="111" spans="2:10">
      <c r="B111" s="8">
        <f t="shared" si="22"/>
        <v>27</v>
      </c>
      <c r="C111" s="8">
        <f t="shared" si="22"/>
        <v>11</v>
      </c>
      <c r="D111" s="8">
        <f t="shared" si="22"/>
        <v>28</v>
      </c>
      <c r="E111" s="8" cm="1">
        <f t="array" aca="1" ref="E111" ca="1">INDIRECT("D"&amp;(C111+49))</f>
        <v>30</v>
      </c>
      <c r="F111" s="8" cm="1">
        <f t="array" aca="1" ref="F111" ca="1">INDIRECT("e"&amp;(D111+49))</f>
        <v>0</v>
      </c>
      <c r="G111" s="8" cm="1">
        <f t="array" aca="1" ref="G111" ca="1">INDIRECT("f"&amp;(D111+49))-INDIRECT("f"&amp;(C111+49))</f>
        <v>-120</v>
      </c>
      <c r="H111" s="8">
        <f t="shared" ca="1" si="19"/>
        <v>0</v>
      </c>
      <c r="I111" s="8">
        <f t="shared" ca="1" si="20"/>
        <v>0</v>
      </c>
      <c r="J111" s="8">
        <f t="shared" ca="1" si="21"/>
        <v>0</v>
      </c>
    </row>
    <row r="112" spans="2:10">
      <c r="B112" s="8">
        <f t="shared" si="22"/>
        <v>28</v>
      </c>
      <c r="C112" s="8">
        <f t="shared" si="22"/>
        <v>11</v>
      </c>
      <c r="D112" s="8">
        <f t="shared" si="22"/>
        <v>29</v>
      </c>
      <c r="E112" s="8" cm="1">
        <f t="array" aca="1" ref="E112" ca="1">INDIRECT("D"&amp;(C112+49))</f>
        <v>30</v>
      </c>
      <c r="F112" s="8" cm="1">
        <f t="array" aca="1" ref="F112" ca="1">INDIRECT("e"&amp;(D112+49))</f>
        <v>0</v>
      </c>
      <c r="G112" s="8" cm="1">
        <f t="array" aca="1" ref="G112" ca="1">INDIRECT("f"&amp;(D112+49))-INDIRECT("f"&amp;(C112+49))</f>
        <v>-120</v>
      </c>
      <c r="H112" s="8">
        <f t="shared" ca="1" si="19"/>
        <v>0</v>
      </c>
      <c r="I112" s="8">
        <f t="shared" ca="1" si="20"/>
        <v>0</v>
      </c>
      <c r="J112" s="8">
        <f t="shared" ca="1" si="21"/>
        <v>0</v>
      </c>
    </row>
    <row r="113" spans="2:10">
      <c r="B113" s="8">
        <f t="shared" si="22"/>
        <v>29</v>
      </c>
      <c r="C113" s="8">
        <f t="shared" si="22"/>
        <v>11</v>
      </c>
      <c r="D113" s="8">
        <f t="shared" si="22"/>
        <v>30</v>
      </c>
      <c r="E113" s="8" cm="1">
        <f t="array" aca="1" ref="E113" ca="1">INDIRECT("D"&amp;(C113+49))</f>
        <v>30</v>
      </c>
      <c r="F113" s="8" cm="1">
        <f t="array" aca="1" ref="F113" ca="1">INDIRECT("e"&amp;(D113+49))</f>
        <v>0</v>
      </c>
      <c r="G113" s="8" cm="1">
        <f t="array" aca="1" ref="G113" ca="1">INDIRECT("f"&amp;(D113+49))-INDIRECT("f"&amp;(C113+49))</f>
        <v>-120</v>
      </c>
      <c r="H113" s="8">
        <f t="shared" ca="1" si="19"/>
        <v>0</v>
      </c>
      <c r="I113" s="8">
        <f t="shared" ca="1" si="20"/>
        <v>0</v>
      </c>
      <c r="J113" s="8">
        <f t="shared" ca="1" si="21"/>
        <v>0</v>
      </c>
    </row>
    <row r="114" spans="2:10">
      <c r="B114" s="8">
        <f t="shared" si="22"/>
        <v>30</v>
      </c>
      <c r="C114" s="8">
        <f t="shared" si="22"/>
        <v>11</v>
      </c>
      <c r="D114" s="8">
        <f t="shared" si="22"/>
        <v>31</v>
      </c>
      <c r="E114" s="8" cm="1">
        <f t="array" aca="1" ref="E114" ca="1">INDIRECT("D"&amp;(C114+49))</f>
        <v>30</v>
      </c>
      <c r="F114" s="8" cm="1">
        <f t="array" aca="1" ref="F114" ca="1">INDIRECT("e"&amp;(D114+49))</f>
        <v>0</v>
      </c>
      <c r="G114" s="8" cm="1">
        <f t="array" aca="1" ref="G114" ca="1">INDIRECT("f"&amp;(D114+49))-INDIRECT("f"&amp;(C114+49))</f>
        <v>-120</v>
      </c>
      <c r="H114" s="8">
        <f t="shared" ca="1" si="19"/>
        <v>0</v>
      </c>
      <c r="I114" s="8">
        <f t="shared" ca="1" si="20"/>
        <v>0</v>
      </c>
      <c r="J114" s="8">
        <f t="shared" ca="1" si="21"/>
        <v>0</v>
      </c>
    </row>
  </sheetData>
  <dataValidations count="1">
    <dataValidation type="list" allowBlank="1" showInputMessage="1" showErrorMessage="1" sqref="I5:AN5" xr:uid="{EC45B68E-9271-4B45-89A6-3A9DEF436280}">
      <formula1>$BD$3:$BD$6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48B1-08D9-45D4-9A04-2BD57C2B7B5B}">
  <dimension ref="B1:P90"/>
  <sheetViews>
    <sheetView topLeftCell="A55" workbookViewId="0">
      <selection activeCell="D24" sqref="D24"/>
    </sheetView>
  </sheetViews>
  <sheetFormatPr defaultRowHeight="15"/>
  <cols>
    <col min="3" max="3" width="55.85546875" customWidth="1"/>
    <col min="5" max="5" width="17.5703125" customWidth="1"/>
    <col min="6" max="6" width="17.85546875" customWidth="1"/>
  </cols>
  <sheetData>
    <row r="1" spans="3:6" ht="21">
      <c r="C1" s="68" t="s">
        <v>163</v>
      </c>
      <c r="D1" s="54"/>
      <c r="E1" s="54"/>
      <c r="F1" s="54"/>
    </row>
    <row r="3" spans="3:6">
      <c r="C3" t="s">
        <v>74</v>
      </c>
      <c r="D3" t="s">
        <v>149</v>
      </c>
    </row>
    <row r="4" spans="3:6" ht="14.25" customHeight="1">
      <c r="C4" t="s">
        <v>140</v>
      </c>
      <c r="D4">
        <v>8</v>
      </c>
    </row>
    <row r="5" spans="3:6" ht="14.25" customHeight="1">
      <c r="C5" t="s">
        <v>141</v>
      </c>
      <c r="D5">
        <v>16</v>
      </c>
    </row>
    <row r="6" spans="3:6" ht="14.25" customHeight="1">
      <c r="C6" t="s">
        <v>142</v>
      </c>
      <c r="D6">
        <v>24</v>
      </c>
    </row>
    <row r="7" spans="3:6" ht="14.25" customHeight="1">
      <c r="C7" t="s">
        <v>143</v>
      </c>
      <c r="D7">
        <v>32</v>
      </c>
    </row>
    <row r="8" spans="3:6" ht="14.25" customHeight="1">
      <c r="C8" t="s">
        <v>138</v>
      </c>
      <c r="D8">
        <v>6</v>
      </c>
    </row>
    <row r="9" spans="3:6" ht="14.25" customHeight="1">
      <c r="C9" t="s">
        <v>139</v>
      </c>
      <c r="D9">
        <v>12</v>
      </c>
    </row>
    <row r="10" spans="3:6" ht="14.25" customHeight="1">
      <c r="C10" t="s">
        <v>144</v>
      </c>
      <c r="D10">
        <v>18</v>
      </c>
    </row>
    <row r="11" spans="3:6" ht="14.25" customHeight="1">
      <c r="C11" t="s">
        <v>145</v>
      </c>
      <c r="D11">
        <v>24</v>
      </c>
    </row>
    <row r="12" spans="3:6" ht="14.25" customHeight="1"/>
    <row r="13" spans="3:6" ht="14.25" customHeight="1"/>
    <row r="14" spans="3:6" ht="14.25" customHeight="1"/>
    <row r="15" spans="3:6">
      <c r="C15" t="s">
        <v>146</v>
      </c>
      <c r="D15" t="s">
        <v>148</v>
      </c>
    </row>
    <row r="16" spans="3:6">
      <c r="C16" t="s">
        <v>95</v>
      </c>
      <c r="D16">
        <v>0</v>
      </c>
    </row>
    <row r="17" spans="3:10">
      <c r="C17" t="s">
        <v>96</v>
      </c>
      <c r="D17">
        <v>1</v>
      </c>
    </row>
    <row r="18" spans="3:10">
      <c r="C18" t="s">
        <v>97</v>
      </c>
      <c r="D18">
        <v>2</v>
      </c>
    </row>
    <row r="19" spans="3:10">
      <c r="C19" t="s">
        <v>93</v>
      </c>
      <c r="D19">
        <v>3</v>
      </c>
    </row>
    <row r="22" spans="3:10">
      <c r="C22" t="s">
        <v>154</v>
      </c>
    </row>
    <row r="23" spans="3:10">
      <c r="C23" s="14" t="s">
        <v>87</v>
      </c>
      <c r="D23" s="14" t="s">
        <v>88</v>
      </c>
      <c r="E23" s="14" t="s">
        <v>86</v>
      </c>
      <c r="F23" s="14" t="s">
        <v>155</v>
      </c>
      <c r="J23" s="14" t="s">
        <v>156</v>
      </c>
    </row>
    <row r="24" spans="3:10">
      <c r="C24" s="8">
        <v>4</v>
      </c>
      <c r="D24" s="8" t="str">
        <f>DEC2HEX(CONFIGURATOR!C21+CONFIGURATOR!D21*256)</f>
        <v>300</v>
      </c>
      <c r="E24" s="8" t="str">
        <f t="shared" ref="E24:E54" si="0">"DCW["&amp;C24&amp;"]("&amp;D24&amp;")"</f>
        <v>DCW[4](300)</v>
      </c>
      <c r="F24" s="50" t="str">
        <f>"DCM("&amp;C24&amp;":"&amp;D24&amp;")"</f>
        <v>DCM(4:300)</v>
      </c>
      <c r="J24" t="str" cm="1">
        <f t="array" aca="1" ref="J24" ca="1">INDIRECT(ADDRESS(ROW(F24)+CONFIGURATOR!$L$16-1,6))</f>
        <v>DCM(4:4000300; 5:6010500; 6:8010701; 7:A020902; 8:B02)</v>
      </c>
    </row>
    <row r="25" spans="3:10">
      <c r="C25" s="8">
        <v>4</v>
      </c>
      <c r="D25" s="8" t="str">
        <f>DEC2HEX(CONFIGURATOR!C21+CONFIGURATOR!D21*256+CONFIGURATOR!C22*2^16+CONFIGURATOR!D22*2^24)</f>
        <v>4000300</v>
      </c>
      <c r="E25" s="8" t="str">
        <f t="shared" si="0"/>
        <v>DCW[4](4000300)</v>
      </c>
      <c r="F25" s="50" t="str">
        <f>"DCM("&amp;C25&amp;":"&amp;D25&amp;")"</f>
        <v>DCM(4:4000300)</v>
      </c>
      <c r="J25" s="14" t="s">
        <v>157</v>
      </c>
    </row>
    <row r="26" spans="3:10">
      <c r="C26" s="8">
        <v>5</v>
      </c>
      <c r="D26" s="8" t="str">
        <f>DEC2HEX(CONFIGURATOR!C23+CONFIGURATOR!D23*256)</f>
        <v>500</v>
      </c>
      <c r="E26" s="8" t="str">
        <f t="shared" si="0"/>
        <v>DCW[5](500)</v>
      </c>
      <c r="F26" s="50" t="str">
        <f>"DCM("&amp;C25&amp;":"&amp;D25&amp;"; "&amp;C26&amp;":"&amp;D26&amp;")"</f>
        <v>DCM(4:4000300; 5:500)</v>
      </c>
      <c r="J26" t="str">
        <f>F54</f>
        <v>DCM(4:4000300; 5:6010500; 6:8010701; 7:A020902; 8:B02; 9:0; 10:0; 11:0; 12:0; 13:0; 14:0; 15:0; 16:0; 17:0; 18:0; 19:0)</v>
      </c>
    </row>
    <row r="27" spans="3:10">
      <c r="C27" s="8">
        <v>5</v>
      </c>
      <c r="D27" s="8" t="str">
        <f>DEC2HEX(CONFIGURATOR!C23+CONFIGURATOR!D23*256+CONFIGURATOR!C24*2^16+CONFIGURATOR!D24*2^24)</f>
        <v>6010500</v>
      </c>
      <c r="E27" s="8" t="str">
        <f t="shared" si="0"/>
        <v>DCW[5](6010500)</v>
      </c>
      <c r="F27" s="50" t="str">
        <f>"DCM("&amp;C25&amp;":"&amp;D25&amp;"; "&amp;C27&amp;":"&amp;D27&amp;")"</f>
        <v>DCM(4:4000300; 5:6010500)</v>
      </c>
    </row>
    <row r="28" spans="3:10">
      <c r="C28" s="8">
        <v>6</v>
      </c>
      <c r="D28" s="8" t="str">
        <f>DEC2HEX(CONFIGURATOR!C25+CONFIGURATOR!D25*256)</f>
        <v>701</v>
      </c>
      <c r="E28" s="8" t="str">
        <f t="shared" si="0"/>
        <v>DCW[6](701)</v>
      </c>
      <c r="F28" s="50" t="str">
        <f>"DCM("&amp;C25&amp;":"&amp;D25&amp;"; "&amp;C27&amp;":"&amp;D27&amp;"; "&amp;C28&amp;":"&amp;D28&amp;")"</f>
        <v>DCM(4:4000300; 5:6010500; 6:701)</v>
      </c>
    </row>
    <row r="29" spans="3:10">
      <c r="C29" s="8">
        <v>6</v>
      </c>
      <c r="D29" s="8" t="str">
        <f>DEC2HEX(CONFIGURATOR!C25+CONFIGURATOR!D25*256+CONFIGURATOR!C26*2^16+CONFIGURATOR!D26*2^24)</f>
        <v>8010701</v>
      </c>
      <c r="E29" s="8" t="str">
        <f t="shared" si="0"/>
        <v>DCW[6](8010701)</v>
      </c>
      <c r="F29" s="50" t="str">
        <f>"DCM("&amp;C25&amp;":"&amp;D25&amp;"; "&amp;C27&amp;":"&amp;D27&amp;"; "&amp;C29&amp;":"&amp;D29&amp;")"</f>
        <v>DCM(4:4000300; 5:6010500; 6:8010701)</v>
      </c>
    </row>
    <row r="30" spans="3:10">
      <c r="C30" s="8">
        <v>7</v>
      </c>
      <c r="D30" s="8" t="str">
        <f>DEC2HEX(CONFIGURATOR!C27+CONFIGURATOR!D27*256)</f>
        <v>902</v>
      </c>
      <c r="E30" s="8" t="str">
        <f t="shared" si="0"/>
        <v>DCW[7](902)</v>
      </c>
      <c r="F30" s="50" t="str">
        <f>"DCM("&amp;C25&amp;":"&amp;D25&amp;"; "&amp;C27&amp;":"&amp;D27&amp;"; "&amp;C29&amp;":"&amp;D29&amp;"; "&amp;C30&amp;":"&amp;D30&amp;")"</f>
        <v>DCM(4:4000300; 5:6010500; 6:8010701; 7:902)</v>
      </c>
    </row>
    <row r="31" spans="3:10">
      <c r="C31" s="8">
        <v>7</v>
      </c>
      <c r="D31" s="8" t="str">
        <f>DEC2HEX(CONFIGURATOR!C27+CONFIGURATOR!D27*256+CONFIGURATOR!C28*2^16+CONFIGURATOR!D28*2^24)</f>
        <v>A020902</v>
      </c>
      <c r="E31" s="8" t="str">
        <f t="shared" si="0"/>
        <v>DCW[7](A020902)</v>
      </c>
      <c r="F31" s="50" t="str">
        <f>"DCM("&amp;C25&amp;":"&amp;D25&amp;"; "&amp;C27&amp;":"&amp;D27&amp;"; "&amp;C29&amp;":"&amp;D29&amp;";"&amp;C31&amp;":"&amp;D31&amp;")"</f>
        <v>DCM(4:4000300; 5:6010500; 6:8010701;7:A020902)</v>
      </c>
    </row>
    <row r="32" spans="3:10">
      <c r="C32" s="8">
        <v>8</v>
      </c>
      <c r="D32" s="8" t="str">
        <f>DEC2HEX(CONFIGURATOR!C29+CONFIGURATOR!D29*256)</f>
        <v>B02</v>
      </c>
      <c r="E32" s="8" t="str">
        <f t="shared" si="0"/>
        <v>DCW[8](B02)</v>
      </c>
      <c r="F32" s="50" t="str">
        <f>"DCM("&amp;C25&amp;":"&amp;D25&amp;"; "&amp;C27&amp;":"&amp;D27&amp;"; "&amp;C29&amp;":"&amp;D29&amp;"; "&amp;C31&amp;":"&amp;D31&amp;"; "&amp;C32&amp;":"&amp;D32&amp;")"</f>
        <v>DCM(4:4000300; 5:6010500; 6:8010701; 7:A020902; 8:B02)</v>
      </c>
    </row>
    <row r="33" spans="3:6">
      <c r="C33" s="8">
        <v>8</v>
      </c>
      <c r="D33" s="8" t="str">
        <f>DEC2HEX(CONFIGURATOR!C29+CONFIGURATOR!D29*256+CONFIGURATOR!C30*2^16+CONFIGURATOR!D30*2^24)</f>
        <v>B02</v>
      </c>
      <c r="E33" s="8" t="str">
        <f t="shared" si="0"/>
        <v>DCW[8](B02)</v>
      </c>
      <c r="F33" s="50" t="str">
        <f>"DCM("&amp;C25&amp;":"&amp;D25&amp;"; "&amp;C27&amp;":"&amp;D27&amp;"; "&amp;C29&amp;":"&amp;D29&amp;"; "&amp;C31&amp;":"&amp;D31&amp;"; "&amp;C33&amp;":"&amp;D33&amp;")"</f>
        <v>DCM(4:4000300; 5:6010500; 6:8010701; 7:A020902; 8:B02)</v>
      </c>
    </row>
    <row r="34" spans="3:6">
      <c r="C34" s="8">
        <v>9</v>
      </c>
      <c r="D34" s="8" t="str">
        <f>DEC2HEX(CONFIGURATOR!C31+CONFIGURATOR!D31*256)</f>
        <v>0</v>
      </c>
      <c r="E34" s="8" t="str">
        <f t="shared" si="0"/>
        <v>DCW[9](0)</v>
      </c>
      <c r="F34" s="50" t="str">
        <f>"DCM("&amp;C25&amp;":"&amp;D25&amp;"; "&amp;C27&amp;":"&amp;D27&amp;"; "&amp;C29&amp;":"&amp;D29&amp;"; "&amp;C31&amp;":"&amp;D31&amp;"; "&amp;C33&amp;":"&amp;D33&amp;"; "&amp;C34&amp;":"&amp;D34&amp;")"</f>
        <v>DCM(4:4000300; 5:6010500; 6:8010701; 7:A020902; 8:B02; 9:0)</v>
      </c>
    </row>
    <row r="35" spans="3:6">
      <c r="C35" s="8">
        <v>9</v>
      </c>
      <c r="D35" s="8" t="str">
        <f>DEC2HEX(CONFIGURATOR!C31+CONFIGURATOR!D31*256+CONFIGURATOR!C32*2^16+CONFIGURATOR!D32*2^24)</f>
        <v>0</v>
      </c>
      <c r="E35" s="8" t="str">
        <f t="shared" si="0"/>
        <v>DCW[9](0)</v>
      </c>
      <c r="F35" s="50" t="str">
        <f>"DCM("&amp;C25&amp;":"&amp;D25&amp;"; "&amp;C27&amp;":"&amp;D27&amp;"; "&amp;C29&amp;":"&amp;D29&amp;"; "&amp;C31&amp;":"&amp;D31&amp;"; "&amp;C33&amp;":"&amp;D33&amp;"; "&amp;C35&amp;":"&amp;D35&amp;")"</f>
        <v>DCM(4:4000300; 5:6010500; 6:8010701; 7:A020902; 8:B02; 9:0)</v>
      </c>
    </row>
    <row r="36" spans="3:6">
      <c r="C36" s="8">
        <v>10</v>
      </c>
      <c r="D36" s="8" t="str">
        <f>DEC2HEX(CONFIGURATOR!C33+CONFIGURATOR!D33*256)</f>
        <v>0</v>
      </c>
      <c r="E36" s="8" t="str">
        <f t="shared" si="0"/>
        <v>DCW[10](0)</v>
      </c>
      <c r="F36" s="50" t="str">
        <f>"DCM("&amp;C25&amp;":"&amp;D25&amp;"; "&amp;C27&amp;":"&amp;D27&amp;"; "&amp;C29&amp;":"&amp;D29&amp;"; "&amp;C31&amp;":"&amp;D31&amp;"; "&amp;C33&amp;":"&amp;D33&amp;"; "&amp;C35&amp;":"&amp;D35&amp;"; "&amp;C36&amp;":"&amp;D36&amp;")"</f>
        <v>DCM(4:4000300; 5:6010500; 6:8010701; 7:A020902; 8:B02; 9:0; 10:0)</v>
      </c>
    </row>
    <row r="37" spans="3:6">
      <c r="C37" s="8">
        <v>10</v>
      </c>
      <c r="D37" s="8" t="str">
        <f>DEC2HEX(CONFIGURATOR!C33+CONFIGURATOR!D33*256+CONFIGURATOR!C34*2^16+CONFIGURATOR!D34*2^24)</f>
        <v>0</v>
      </c>
      <c r="E37" s="8" t="str">
        <f t="shared" si="0"/>
        <v>DCW[10](0)</v>
      </c>
      <c r="F37" s="50" t="str">
        <f>"DCM("&amp;C25&amp;":"&amp;D25&amp;"; "&amp;C27&amp;":"&amp;D27&amp;"; "&amp;C29&amp;":"&amp;D29&amp;"; "&amp;C31&amp;":"&amp;D31&amp;"; "&amp;C33&amp;":"&amp;D33&amp;"; "&amp;C35&amp;":"&amp;D35&amp;"; "&amp;C37&amp;":"&amp;D37&amp;")"</f>
        <v>DCM(4:4000300; 5:6010500; 6:8010701; 7:A020902; 8:B02; 9:0; 10:0)</v>
      </c>
    </row>
    <row r="38" spans="3:6">
      <c r="C38" s="8">
        <v>11</v>
      </c>
      <c r="D38" s="8" t="str">
        <f>DEC2HEX(CONFIGURATOR!C35+CONFIGURATOR!D35*256)</f>
        <v>0</v>
      </c>
      <c r="E38" s="8" t="str">
        <f t="shared" si="0"/>
        <v>DCW[11](0)</v>
      </c>
      <c r="F38" s="50" t="str">
        <f>"DCM("&amp;C25&amp;":"&amp;D25&amp;"; "&amp;C27&amp;":"&amp;D27&amp;"; "&amp;C29&amp;":"&amp;D29&amp;"; "&amp;C31&amp;":"&amp;D31&amp;"; "&amp;C33&amp;":"&amp;D33&amp;"; "&amp;C35&amp;":"&amp;D35&amp;"; "&amp;C37&amp;":"&amp;D37&amp;"; "&amp;C38&amp;":"&amp;D38&amp;")"</f>
        <v>DCM(4:4000300; 5:6010500; 6:8010701; 7:A020902; 8:B02; 9:0; 10:0; 11:0)</v>
      </c>
    </row>
    <row r="39" spans="3:6">
      <c r="C39" s="8">
        <v>11</v>
      </c>
      <c r="D39" s="8" t="str">
        <f>DEC2HEX(CONFIGURATOR!C35+CONFIGURATOR!D35*256+CONFIGURATOR!C36*2^16+CONFIGURATOR!D36*2^24)</f>
        <v>0</v>
      </c>
      <c r="E39" s="8" t="str">
        <f t="shared" si="0"/>
        <v>DCW[11](0)</v>
      </c>
      <c r="F39" s="50" t="str">
        <f>"DCM("&amp;C25&amp;":"&amp;D25&amp;"; "&amp;C27&amp;":"&amp;D27&amp;"; "&amp;C29&amp;":"&amp;D29&amp;"; "&amp;C31&amp;":"&amp;D31&amp;"; "&amp;C33&amp;":"&amp;D33&amp;"; "&amp;C35&amp;":"&amp;D35&amp;"; "&amp;C37&amp;":"&amp;D37&amp;"; "&amp;C39&amp;":"&amp;D39&amp;")"</f>
        <v>DCM(4:4000300; 5:6010500; 6:8010701; 7:A020902; 8:B02; 9:0; 10:0; 11:0)</v>
      </c>
    </row>
    <row r="40" spans="3:6">
      <c r="C40" s="8">
        <v>12</v>
      </c>
      <c r="D40" s="8" t="str">
        <f>DEC2HEX(CONFIGURATOR!C37+CONFIGURATOR!D37*256)</f>
        <v>0</v>
      </c>
      <c r="E40" s="8" t="str">
        <f t="shared" si="0"/>
        <v>DCW[12](0)</v>
      </c>
      <c r="F40" s="50" t="str">
        <f>"DCM("&amp;C25&amp;":"&amp;D25&amp;"; "&amp;C27&amp;":"&amp;D27&amp;"; "&amp;C29&amp;":"&amp;D29&amp;";"&amp;C31&amp;":"&amp;D31&amp;"; "&amp;C33&amp;":"&amp;D33&amp;"; "&amp;C35&amp;":"&amp;D35&amp;"; "&amp;C37&amp;":"&amp;D37&amp;"; "&amp;C39&amp;":"&amp;D39&amp;"; "&amp;C40&amp;":"&amp;D40&amp;")"</f>
        <v>DCM(4:4000300; 5:6010500; 6:8010701;7:A020902; 8:B02; 9:0; 10:0; 11:0; 12:0)</v>
      </c>
    </row>
    <row r="41" spans="3:6">
      <c r="C41" s="8">
        <v>12</v>
      </c>
      <c r="D41" s="8" t="str">
        <f>DEC2HEX(CONFIGURATOR!C37+CONFIGURATOR!D37*256+CONFIGURATOR!C38*2^16+CONFIGURATOR!D38*2^24)</f>
        <v>0</v>
      </c>
      <c r="E41" s="8" t="str">
        <f t="shared" si="0"/>
        <v>DCW[12](0)</v>
      </c>
      <c r="F41" s="50" t="str">
        <f>"DCM("&amp;C25&amp;":"&amp;D25&amp;"; "&amp;C27&amp;":"&amp;D27&amp;"; "&amp;C29&amp;":"&amp;D29&amp;"; "&amp;C31&amp;":"&amp;D31&amp;"; "&amp;C33&amp;":"&amp;D33&amp;"; "&amp;C35&amp;":"&amp;D35&amp;"; "&amp;C37&amp;":"&amp;D37&amp;"; "&amp;C39&amp;":"&amp;D39&amp;"; "&amp;C41&amp;":"&amp;D41&amp;")"</f>
        <v>DCM(4:4000300; 5:6010500; 6:8010701; 7:A020902; 8:B02; 9:0; 10:0; 11:0; 12:0)</v>
      </c>
    </row>
    <row r="42" spans="3:6">
      <c r="C42" s="8">
        <v>13</v>
      </c>
      <c r="D42" s="8" t="str">
        <f>DEC2HEX(CONFIGURATOR!C39+CONFIGURATOR!D39*256)</f>
        <v>0</v>
      </c>
      <c r="E42" s="8" t="str">
        <f t="shared" si="0"/>
        <v>DCW[13](0)</v>
      </c>
      <c r="F42" s="50" t="str">
        <f>"DCM("&amp;C25&amp;":"&amp;D25&amp;"; "&amp;C27&amp;":"&amp;D27&amp;"; "&amp;C29&amp;":"&amp;D29&amp;"; "&amp;C31&amp;":"&amp;D31&amp;"; "&amp;C33&amp;":"&amp;D33&amp;"; "&amp;C35&amp;":"&amp;D35&amp;"; "&amp;C37&amp;":"&amp;D37&amp;"; "&amp;C39&amp;":"&amp;D39&amp;"; "&amp;C41&amp;":"&amp;D41&amp;"; "&amp;C42&amp;":"&amp;D42&amp;")"</f>
        <v>DCM(4:4000300; 5:6010500; 6:8010701; 7:A020902; 8:B02; 9:0; 10:0; 11:0; 12:0; 13:0)</v>
      </c>
    </row>
    <row r="43" spans="3:6">
      <c r="C43" s="8">
        <v>13</v>
      </c>
      <c r="D43" s="8" t="str">
        <f>DEC2HEX(CONFIGURATOR!C39+CONFIGURATOR!D39*256+CONFIGURATOR!C40*2^16+CONFIGURATOR!D40*2^24)</f>
        <v>0</v>
      </c>
      <c r="E43" s="8" t="str">
        <f t="shared" si="0"/>
        <v>DCW[13](0)</v>
      </c>
      <c r="F43" s="50" t="str">
        <f>"DCM("&amp;C25&amp;":"&amp;D25&amp;"; "&amp;C27&amp;":"&amp;D27&amp;"; "&amp;C29&amp;":"&amp;D29&amp;"; "&amp;C31&amp;":"&amp;D31&amp;"; "&amp;C33&amp;":"&amp;D33&amp;"; "&amp;C35&amp;":"&amp;D35&amp;"; "&amp;C37&amp;":"&amp;D37&amp;"; "&amp;C39&amp;":"&amp;D39&amp;"; "&amp;C41&amp;":"&amp;D41&amp;"; "&amp;C43&amp;":"&amp;D43&amp;")"</f>
        <v>DCM(4:4000300; 5:6010500; 6:8010701; 7:A020902; 8:B02; 9:0; 10:0; 11:0; 12:0; 13:0)</v>
      </c>
    </row>
    <row r="44" spans="3:6">
      <c r="C44" s="8">
        <v>14</v>
      </c>
      <c r="D44" s="8" t="str">
        <f>DEC2HEX(CONFIGURATOR!C41+CONFIGURATOR!D41*256)</f>
        <v>0</v>
      </c>
      <c r="E44" s="8" t="str">
        <f t="shared" si="0"/>
        <v>DCW[14](0)</v>
      </c>
      <c r="F44" s="50" t="str">
        <f>"DCM("&amp;C25&amp;":"&amp;D25&amp;"; "&amp;C27&amp;":"&amp;D27&amp;"; "&amp;C29&amp;":"&amp;D29&amp;"; "&amp;C31&amp;":"&amp;D31&amp;"; "&amp;C33&amp;":"&amp;D33&amp;"; "&amp;C35&amp;":"&amp;D35&amp;"; "&amp;C37&amp;":"&amp;D37&amp;"; "&amp;C39&amp;":"&amp;D39&amp;"; "&amp;C41&amp;":"&amp;D41&amp;"; "&amp;C43&amp;":"&amp;D43&amp;"; "&amp;C44&amp;":"&amp;D44&amp;")"</f>
        <v>DCM(4:4000300; 5:6010500; 6:8010701; 7:A020902; 8:B02; 9:0; 10:0; 11:0; 12:0; 13:0; 14:0)</v>
      </c>
    </row>
    <row r="45" spans="3:6">
      <c r="C45" s="8">
        <v>14</v>
      </c>
      <c r="D45" s="8" t="str">
        <f>DEC2HEX(CONFIGURATOR!C41+CONFIGURATOR!D41*256+CONFIGURATOR!C42*2^16+CONFIGURATOR!D42*2^24)</f>
        <v>0</v>
      </c>
      <c r="E45" s="8" t="str">
        <f t="shared" si="0"/>
        <v>DCW[14](0)</v>
      </c>
      <c r="F45" s="50" t="str">
        <f>"DCM("&amp;C25&amp;":"&amp;D25&amp;"; "&amp;C27&amp;":"&amp;D27&amp;"; "&amp;C29&amp;":"&amp;D29&amp;"; "&amp;C31&amp;":"&amp;D31&amp;"; "&amp;C33&amp;":"&amp;D33&amp;"; "&amp;C35&amp;":"&amp;D35&amp;"; "&amp;C37&amp;":"&amp;D37&amp;"; "&amp;C39&amp;":"&amp;D39&amp;"; "&amp;C41&amp;":"&amp;D41&amp;"; "&amp;C43&amp;":"&amp;D43&amp;"; "&amp;C45&amp;":"&amp;D45&amp;")"</f>
        <v>DCM(4:4000300; 5:6010500; 6:8010701; 7:A020902; 8:B02; 9:0; 10:0; 11:0; 12:0; 13:0; 14:0)</v>
      </c>
    </row>
    <row r="46" spans="3:6">
      <c r="C46" s="8">
        <v>15</v>
      </c>
      <c r="D46" s="8" t="str">
        <f>DEC2HEX(CONFIGURATOR!C43+CONFIGURATOR!D43*256)</f>
        <v>0</v>
      </c>
      <c r="E46" s="8" t="str">
        <f t="shared" si="0"/>
        <v>DCW[15](0)</v>
      </c>
      <c r="F46" s="50" t="str">
        <f>"DCM("&amp;C25&amp;":"&amp;D25&amp;"; "&amp;C27&amp;":"&amp;D27&amp;"; "&amp;C29&amp;":"&amp;D29&amp;"; "&amp;C31&amp;":"&amp;D31&amp;"; "&amp;C33&amp;":"&amp;D33&amp;"; "&amp;C35&amp;":"&amp;D35&amp;"; "&amp;C37&amp;":"&amp;D37&amp;"; "&amp;C39&amp;":"&amp;D39&amp;"; "&amp;C41&amp;":"&amp;D41&amp;"; "&amp;C43&amp;":"&amp;D43&amp;"; "&amp;C45&amp;":"&amp;D45&amp;"; "&amp;C46&amp;":"&amp;D46&amp;")"</f>
        <v>DCM(4:4000300; 5:6010500; 6:8010701; 7:A020902; 8:B02; 9:0; 10:0; 11:0; 12:0; 13:0; 14:0; 15:0)</v>
      </c>
    </row>
    <row r="47" spans="3:6">
      <c r="C47" s="8">
        <v>15</v>
      </c>
      <c r="D47" s="8" t="str">
        <f>DEC2HEX(CONFIGURATOR!C43+CONFIGURATOR!D43*256+CONFIGURATOR!C44*2^16+CONFIGURATOR!D44*2^24)</f>
        <v>0</v>
      </c>
      <c r="E47" s="8" t="str">
        <f t="shared" si="0"/>
        <v>DCW[15](0)</v>
      </c>
      <c r="F47" s="50" t="str">
        <f>"DCM("&amp;C25&amp;":"&amp;D25&amp;"; "&amp;C27&amp;":"&amp;D27&amp;"; "&amp;C29&amp;":"&amp;D29&amp;"; "&amp;C31&amp;":"&amp;D31&amp;"; "&amp;C33&amp;":"&amp;D33&amp;"; "&amp;C35&amp;":"&amp;D35&amp;"; "&amp;C37&amp;":"&amp;D37&amp;"; "&amp;C39&amp;":"&amp;D39&amp;"; "&amp;C41&amp;":"&amp;D41&amp;"; "&amp;C43&amp;":"&amp;D43&amp;"; "&amp;C45&amp;":"&amp;D45&amp;"; "&amp;C47&amp;":"&amp;D47&amp;")"</f>
        <v>DCM(4:4000300; 5:6010500; 6:8010701; 7:A020902; 8:B02; 9:0; 10:0; 11:0; 12:0; 13:0; 14:0; 15:0)</v>
      </c>
    </row>
    <row r="48" spans="3:6">
      <c r="C48" s="8">
        <v>16</v>
      </c>
      <c r="D48" s="8" t="str">
        <f>DEC2HEX(CONFIGURATOR!C45+CONFIGURATOR!D45*256)</f>
        <v>0</v>
      </c>
      <c r="E48" s="8" t="str">
        <f t="shared" si="0"/>
        <v>DCW[16](0)</v>
      </c>
      <c r="F48" s="50" t="str">
        <f>"DCM("&amp;C25&amp;":"&amp;D25&amp;"; "&amp;C27&amp;":"&amp;D27&amp;"; "&amp;C29&amp;":"&amp;D29&amp;"; "&amp;C31&amp;":"&amp;D31&amp;"; "&amp;C33&amp;":"&amp;D33&amp;"; "&amp;C35&amp;":"&amp;D35&amp;"; "&amp;C37&amp;":"&amp;D37&amp;"; "&amp;C39&amp;":"&amp;D39&amp;"; "&amp;C41&amp;":"&amp;D41&amp;"; "&amp;C43&amp;":"&amp;D43&amp;"; "&amp;C45&amp;":"&amp;D45&amp;"; "&amp;C47&amp;":"&amp;D47&amp;"; "&amp;C48&amp;":"&amp;D48&amp;")"</f>
        <v>DCM(4:4000300; 5:6010500; 6:8010701; 7:A020902; 8:B02; 9:0; 10:0; 11:0; 12:0; 13:0; 14:0; 15:0; 16:0)</v>
      </c>
    </row>
    <row r="49" spans="2:16">
      <c r="C49" s="8">
        <v>16</v>
      </c>
      <c r="D49" s="8" t="str">
        <f>DEC2HEX(CONFIGURATOR!C45+CONFIGURATOR!D45*256+CONFIGURATOR!C46*2^16+CONFIGURATOR!D46*2^24)</f>
        <v>0</v>
      </c>
      <c r="E49" s="8" t="str">
        <f t="shared" si="0"/>
        <v>DCW[16](0)</v>
      </c>
      <c r="F49" s="50" t="str">
        <f>"DCM("&amp;C25&amp;":"&amp;D25&amp;"; "&amp;C27&amp;":"&amp;D27&amp;"; "&amp;C29&amp;":"&amp;D29&amp;"; "&amp;C31&amp;":"&amp;D31&amp;"; "&amp;C33&amp;":"&amp;D33&amp;"; "&amp;C35&amp;":"&amp;D35&amp;"; "&amp;C37&amp;":"&amp;D37&amp;"; "&amp;C39&amp;":"&amp;D39&amp;"; "&amp;C41&amp;":"&amp;D41&amp;"; "&amp;C43&amp;":"&amp;D43&amp;"; "&amp;C45&amp;":"&amp;D45&amp;"; "&amp;C47&amp;":"&amp;D47&amp;"; "&amp;C49&amp;":"&amp;D49&amp;")"</f>
        <v>DCM(4:4000300; 5:6010500; 6:8010701; 7:A020902; 8:B02; 9:0; 10:0; 11:0; 12:0; 13:0; 14:0; 15:0; 16:0)</v>
      </c>
    </row>
    <row r="50" spans="2:16">
      <c r="C50" s="8">
        <v>17</v>
      </c>
      <c r="D50" s="8" t="str">
        <f>DEC2HEX(CONFIGURATOR!C47+CONFIGURATOR!D47*256)</f>
        <v>0</v>
      </c>
      <c r="E50" s="8" t="str">
        <f t="shared" si="0"/>
        <v>DCW[17](0)</v>
      </c>
      <c r="F50" s="50" t="str">
        <f>"DCM("&amp;C25&amp;":"&amp;D25&amp;"; "&amp;C27&amp;":"&amp;D27&amp;"; "&amp;C29&amp;":"&amp;D29&amp;"; "&amp;C31&amp;":"&amp;D31&amp;"; "&amp;C33&amp;":"&amp;D33&amp;"; "&amp;C35&amp;":"&amp;D35&amp;"; "&amp;C37&amp;":"&amp;D37&amp;"; "&amp;C39&amp;":"&amp;D39&amp;"; "&amp;C41&amp;":"&amp;D41&amp;"; "&amp;C43&amp;":"&amp;D43&amp;"; "&amp;C45&amp;":"&amp;D45&amp;"; "&amp;C47&amp;":"&amp;D47&amp;"; "&amp;C49&amp;":"&amp;D49&amp;"; "&amp;C50&amp;":"&amp;D50&amp;")"</f>
        <v>DCM(4:4000300; 5:6010500; 6:8010701; 7:A020902; 8:B02; 9:0; 10:0; 11:0; 12:0; 13:0; 14:0; 15:0; 16:0; 17:0)</v>
      </c>
    </row>
    <row r="51" spans="2:16">
      <c r="C51" s="8">
        <v>17</v>
      </c>
      <c r="D51" s="8" t="str">
        <f>DEC2HEX(CONFIGURATOR!C47+CONFIGURATOR!D47*256+CONFIGURATOR!C48*2^16+CONFIGURATOR!D48*2^24)</f>
        <v>0</v>
      </c>
      <c r="E51" s="8" t="str">
        <f t="shared" si="0"/>
        <v>DCW[17](0)</v>
      </c>
      <c r="F51" s="50" t="str">
        <f>"DCM("&amp;C25&amp;":"&amp;D25&amp;"; "&amp;C27&amp;":"&amp;D27&amp;"; "&amp;C29&amp;":"&amp;D29&amp;"; "&amp;C31&amp;":"&amp;D31&amp;"; "&amp;C33&amp;":"&amp;D33&amp;"; "&amp;C35&amp;":"&amp;D35&amp;"; "&amp;C37&amp;":"&amp;D37&amp;"; "&amp;C39&amp;":"&amp;D39&amp;"; "&amp;C41&amp;":"&amp;D41&amp;"; "&amp;C43&amp;":"&amp;D43&amp;"; "&amp;C45&amp;":"&amp;D45&amp;"; "&amp;C47&amp;":"&amp;D47&amp;"; "&amp;C49&amp;":"&amp;D49&amp;"; "&amp;C51&amp;":"&amp;D51&amp;")"</f>
        <v>DCM(4:4000300; 5:6010500; 6:8010701; 7:A020902; 8:B02; 9:0; 10:0; 11:0; 12:0; 13:0; 14:0; 15:0; 16:0; 17:0)</v>
      </c>
    </row>
    <row r="52" spans="2:16">
      <c r="C52" s="8">
        <v>18</v>
      </c>
      <c r="D52" s="8" t="str">
        <f>DEC2HEX(CONFIGURATOR!C49+CONFIGURATOR!D49*256)</f>
        <v>0</v>
      </c>
      <c r="E52" s="8" t="str">
        <f t="shared" si="0"/>
        <v>DCW[18](0)</v>
      </c>
      <c r="F52" s="50" t="str">
        <f>"DCM("&amp;C25&amp;":"&amp;D25&amp;"; "&amp;C27&amp;":"&amp;D27&amp;"; "&amp;C29&amp;":"&amp;D29&amp;"; "&amp;C31&amp;":"&amp;D31&amp;"; "&amp;C33&amp;":"&amp;D33&amp;"; "&amp;C35&amp;":"&amp;D35&amp;"; "&amp;C37&amp;":"&amp;D37&amp;"; "&amp;C39&amp;":"&amp;D39&amp;"; "&amp;C41&amp;":"&amp;D41&amp;"; "&amp;C43&amp;":"&amp;D43&amp;"; "&amp;C45&amp;":"&amp;D45&amp;"; "&amp;C47&amp;":"&amp;D47&amp;"; "&amp;C49&amp;":"&amp;D49&amp;"; "&amp;C51&amp;":"&amp;D51&amp;"; "&amp;C52&amp;":"&amp;D52&amp;")"</f>
        <v>DCM(4:4000300; 5:6010500; 6:8010701; 7:A020902; 8:B02; 9:0; 10:0; 11:0; 12:0; 13:0; 14:0; 15:0; 16:0; 17:0; 18:0)</v>
      </c>
    </row>
    <row r="53" spans="2:16">
      <c r="C53" s="8">
        <v>18</v>
      </c>
      <c r="D53" s="8" t="str">
        <f>DEC2HEX(CONFIGURATOR!C49+CONFIGURATOR!D49*256+CONFIGURATOR!C50*2^16+CONFIGURATOR!D50*2^24)</f>
        <v>0</v>
      </c>
      <c r="E53" s="8" t="str">
        <f t="shared" si="0"/>
        <v>DCW[18](0)</v>
      </c>
      <c r="F53" s="50" t="str">
        <f>"DCM("&amp;C25&amp;":"&amp;D25&amp;"; "&amp;C27&amp;":"&amp;D27&amp;"; "&amp;C29&amp;":"&amp;D29&amp;"; "&amp;C31&amp;":"&amp;D31&amp;"; "&amp;C33&amp;":"&amp;D33&amp;"; "&amp;C35&amp;":"&amp;D35&amp;"; "&amp;C37&amp;":"&amp;D37&amp;"; "&amp;C39&amp;":"&amp;D39&amp;"; "&amp;C41&amp;":"&amp;D41&amp;"; "&amp;C43&amp;":"&amp;D43&amp;"; "&amp;C45&amp;":"&amp;D45&amp;"; "&amp;C47&amp;":"&amp;D47&amp;"; "&amp;C49&amp;":"&amp;D49&amp;"; "&amp;C51&amp;":"&amp;D51&amp;"; "&amp;C53&amp;":"&amp;D53&amp;")"</f>
        <v>DCM(4:4000300; 5:6010500; 6:8010701; 7:A020902; 8:B02; 9:0; 10:0; 11:0; 12:0; 13:0; 14:0; 15:0; 16:0; 17:0; 18:0)</v>
      </c>
    </row>
    <row r="54" spans="2:16">
      <c r="C54" s="8">
        <v>19</v>
      </c>
      <c r="D54" s="8" t="str">
        <f>DEC2HEX(CONFIGURATOR!C51+CONFIGURATOR!D51*256)</f>
        <v>0</v>
      </c>
      <c r="E54" s="8" t="str">
        <f t="shared" si="0"/>
        <v>DCW[19](0)</v>
      </c>
      <c r="F54" s="50" t="str">
        <f>"DCM("&amp;C25&amp;":"&amp;D25&amp;"; "&amp;C27&amp;":"&amp;D27&amp;"; "&amp;C29&amp;":"&amp;D29&amp;"; "&amp;C31&amp;":"&amp;D31&amp;"; "&amp;C33&amp;":"&amp;D33&amp;"; "&amp;C35&amp;":"&amp;D35&amp;"; "&amp;C37&amp;":"&amp;D37&amp;"; "&amp;C39&amp;":"&amp;D39&amp;"; "&amp;C41&amp;":"&amp;D41&amp;"; "&amp;C43&amp;":"&amp;D43&amp;"; "&amp;C45&amp;":"&amp;D45&amp;"; "&amp;C47&amp;":"&amp;D47&amp;"; "&amp;C49&amp;":"&amp;D49&amp;"; "&amp;C51&amp;":"&amp;D51&amp;"; "&amp;C53&amp;":"&amp;D53&amp;"; "&amp;C54&amp;":"&amp;D54&amp;")"</f>
        <v>DCM(4:4000300; 5:6010500; 6:8010701; 7:A020902; 8:B02; 9:0; 10:0; 11:0; 12:0; 13:0; 14:0; 15:0; 16:0; 17:0; 18:0; 19:0)</v>
      </c>
    </row>
    <row r="57" spans="2:16">
      <c r="C57" t="s">
        <v>406</v>
      </c>
    </row>
    <row r="58" spans="2:16">
      <c r="B58" s="14"/>
      <c r="C58" s="14" t="s">
        <v>87</v>
      </c>
      <c r="D58" s="14" t="s">
        <v>101</v>
      </c>
      <c r="E58" s="14" t="s">
        <v>88</v>
      </c>
      <c r="F58" s="14" t="s">
        <v>124</v>
      </c>
      <c r="J58" s="14" t="s">
        <v>451</v>
      </c>
      <c r="O58" t="s">
        <v>452</v>
      </c>
      <c r="P58">
        <f ca="1">1+CONFIGURATOR!H16</f>
        <v>12</v>
      </c>
    </row>
    <row r="59" spans="2:16">
      <c r="C59" s="8">
        <v>106</v>
      </c>
      <c r="D59" t="str">
        <f>CONFIGURATOR!C11</f>
        <v>V</v>
      </c>
      <c r="E59" t="str">
        <f>IF(D59="V",CONFIGURATOR!$O$55,CONFIGURATOR!$T$57)</f>
        <v>0019CC00</v>
      </c>
      <c r="F59" s="50" t="str">
        <f>"DCM("&amp;C59&amp;":"&amp;E59
&amp;")"</f>
        <v>DCM(106:0019CC00)</v>
      </c>
      <c r="J59" t="str" cm="1">
        <f t="array" aca="1" ref="J59" ca="1">INDIRECT(ADDRESS(ROW(F59)+P58-1,6))</f>
        <v>DCM(106:0019CC00; 107:0019CC00; 108:0019CC00; 109:0004D291; 110:0004D291; 111:0004D291; 112:0004D291; 113:0004D291; 114:0004D291; 115:0004D291; 116:0004D291; 117:0004D291)</v>
      </c>
    </row>
    <row r="60" spans="2:16">
      <c r="C60" s="8">
        <v>107</v>
      </c>
      <c r="D60" t="str">
        <f>CONFIGURATOR!D11</f>
        <v>V</v>
      </c>
      <c r="E60" t="str">
        <f>IF(D60="V",CONFIGURATOR!$O$55,CONFIGURATOR!$T$57)</f>
        <v>0019CC00</v>
      </c>
      <c r="F60" s="50" t="str">
        <f>"DCM("&amp;C59&amp;":"&amp;E59      &amp;"; "&amp;C60&amp;":"&amp;E60
&amp;")"</f>
        <v>DCM(106:0019CC00; 107:0019CC00)</v>
      </c>
    </row>
    <row r="61" spans="2:16">
      <c r="C61" s="8">
        <v>108</v>
      </c>
      <c r="D61" t="str">
        <f>CONFIGURATOR!E11</f>
        <v>V</v>
      </c>
      <c r="E61" t="str">
        <f>IF(D61="V",CONFIGURATOR!$O$55,CONFIGURATOR!$T$57)</f>
        <v>0019CC00</v>
      </c>
      <c r="F61" s="50" t="str">
        <f>"DCM("&amp;C59&amp;":"&amp;E59      &amp;"; "&amp;C60&amp;":"&amp;E60        &amp;"; "&amp;C61&amp;":"&amp;E61
&amp;")"</f>
        <v>DCM(106:0019CC00; 107:0019CC00; 108:0019CC00)</v>
      </c>
    </row>
    <row r="62" spans="2:16">
      <c r="C62" s="8">
        <v>109</v>
      </c>
      <c r="D62" t="str">
        <f>CONFIGURATOR!F11</f>
        <v>I(CT)</v>
      </c>
      <c r="E62" t="str">
        <f>IF(D62="V",CONFIGURATOR!$O$55,CONFIGURATOR!$T$57)</f>
        <v>0004D291</v>
      </c>
      <c r="F62" s="50" t="str">
        <f>"DCM("&amp;C59&amp;":"&amp;E59      &amp;"; "&amp;C60&amp;":"&amp;E60        &amp;"; "&amp;C61&amp;":"&amp;E61        &amp;"; "&amp;C62&amp;":"&amp;E62
&amp;")"</f>
        <v>DCM(106:0019CC00; 107:0019CC00; 108:0019CC00; 109:0004D291)</v>
      </c>
    </row>
    <row r="63" spans="2:16">
      <c r="C63" s="8">
        <v>110</v>
      </c>
      <c r="D63" t="str">
        <f>CONFIGURATOR!G11</f>
        <v>I(CT)</v>
      </c>
      <c r="E63" t="str">
        <f>IF(D63="V",CONFIGURATOR!$O$55,CONFIGURATOR!$T$57)</f>
        <v>0004D291</v>
      </c>
      <c r="F63" s="50" t="str">
        <f>"DCM("&amp;C59&amp;":"&amp;E59      &amp;"; "&amp;C60&amp;":"&amp;E60        &amp;"; "&amp;C61&amp;":"&amp;E61        &amp;"; "&amp;C62&amp;":"&amp;E62       &amp;"; "&amp;C63&amp;":"&amp;E63
&amp;")"</f>
        <v>DCM(106:0019CC00; 107:0019CC00; 108:0019CC00; 109:0004D291; 110:0004D291)</v>
      </c>
    </row>
    <row r="64" spans="2:16">
      <c r="C64" s="8">
        <v>111</v>
      </c>
      <c r="D64" t="str">
        <f>CONFIGURATOR!H11</f>
        <v>I(CT)</v>
      </c>
      <c r="E64" t="str">
        <f>IF(D64="V",CONFIGURATOR!$O$55,CONFIGURATOR!$T$57)</f>
        <v>0004D291</v>
      </c>
      <c r="F64" s="50" t="str">
        <f>"DCM("&amp;C59&amp;":"&amp;E59      &amp;"; "&amp;C60&amp;":"&amp;E60        &amp;"; "&amp;C61&amp;":"&amp;E61        &amp;"; "&amp;C62&amp;":"&amp;E62       &amp;"; "&amp;C63&amp;":"&amp;E63        &amp;"; "&amp;C64&amp;":"&amp;E64
&amp;")"</f>
        <v>DCM(106:0019CC00; 107:0019CC00; 108:0019CC00; 109:0004D291; 110:0004D291; 111:0004D291)</v>
      </c>
    </row>
    <row r="65" spans="3:6">
      <c r="C65" s="8">
        <v>112</v>
      </c>
      <c r="D65" t="str">
        <f>CONFIGURATOR!I11</f>
        <v>I(CT)</v>
      </c>
      <c r="E65" t="str">
        <f>IF(D65="V",CONFIGURATOR!$O$55,CONFIGURATOR!$T$57)</f>
        <v>0004D291</v>
      </c>
      <c r="F65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
&amp;")"</f>
        <v>DCM(106:0019CC00; 107:0019CC00; 108:0019CC00; 109:0004D291; 110:0004D291; 111:0004D291; 112:0004D291)</v>
      </c>
    </row>
    <row r="66" spans="3:6">
      <c r="C66" s="8">
        <v>113</v>
      </c>
      <c r="D66" t="str">
        <f>CONFIGURATOR!J11</f>
        <v>I(CT)</v>
      </c>
      <c r="E66" t="str">
        <f>IF(D66="V",CONFIGURATOR!$O$55,CONFIGURATOR!$T$57)</f>
        <v>0004D291</v>
      </c>
      <c r="F66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&amp;")"</f>
        <v>DCM(106:0019CC00; 107:0019CC00; 108:0019CC00; 109:0004D291; 110:0004D291; 111:0004D291; 112:0004D291; 113:0004D291)</v>
      </c>
    </row>
    <row r="67" spans="3:6">
      <c r="C67" s="8">
        <v>114</v>
      </c>
      <c r="D67" t="str">
        <f>CONFIGURATOR!K11</f>
        <v>I(CT)</v>
      </c>
      <c r="E67" t="str">
        <f>IF(D67="V",CONFIGURATOR!$O$55,CONFIGURATOR!$T$57)</f>
        <v>0004D291</v>
      </c>
      <c r="F67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
&amp;")"</f>
        <v>DCM(106:0019CC00; 107:0019CC00; 108:0019CC00; 109:0004D291; 110:0004D291; 111:0004D291; 112:0004D291; 113:0004D291; 114:0004D291)</v>
      </c>
    </row>
    <row r="68" spans="3:6">
      <c r="C68" s="8">
        <v>115</v>
      </c>
      <c r="D68" t="str">
        <f>CONFIGURATOR!L11</f>
        <v>I(CT)</v>
      </c>
      <c r="E68" t="str">
        <f>IF(D68="V",CONFIGURATOR!$O$55,CONFIGURATOR!$T$57)</f>
        <v>0004D291</v>
      </c>
      <c r="F68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
&amp;")"</f>
        <v>DCM(106:0019CC00; 107:0019CC00; 108:0019CC00; 109:0004D291; 110:0004D291; 111:0004D291; 112:0004D291; 113:0004D291; 114:0004D291; 115:0004D291)</v>
      </c>
    </row>
    <row r="69" spans="3:6">
      <c r="C69" s="8">
        <v>116</v>
      </c>
      <c r="D69" t="str">
        <f>CONFIGURATOR!M11</f>
        <v>I(CT)</v>
      </c>
      <c r="E69" t="str">
        <f>IF(D69="V",CONFIGURATOR!$O$55,CONFIGURATOR!$T$57)</f>
        <v>0004D291</v>
      </c>
      <c r="F69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
&amp;")"</f>
        <v>DCM(106:0019CC00; 107:0019CC00; 108:0019CC00; 109:0004D291; 110:0004D291; 111:0004D291; 112:0004D291; 113:0004D291; 114:0004D291; 115:0004D291; 116:0004D291)</v>
      </c>
    </row>
    <row r="70" spans="3:6">
      <c r="C70" s="8">
        <v>117</v>
      </c>
      <c r="D70" t="str">
        <f>CONFIGURATOR!N11</f>
        <v>I(CT)</v>
      </c>
      <c r="E70" t="str">
        <f>IF(D70="V",CONFIGURATOR!$O$55,CONFIGURATOR!$T$57)</f>
        <v>0004D291</v>
      </c>
      <c r="F70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
&amp;")"</f>
        <v>DCM(106:0019CC00; 107:0019CC00; 108:0019CC00; 109:0004D291; 110:0004D291; 111:0004D291; 112:0004D291; 113:0004D291; 114:0004D291; 115:0004D291; 116:0004D291; 117:0004D291)</v>
      </c>
    </row>
    <row r="71" spans="3:6">
      <c r="C71" s="8">
        <v>118</v>
      </c>
      <c r="D71" t="str">
        <f>CONFIGURATOR!O11</f>
        <v>I(CT)</v>
      </c>
      <c r="E71" t="str">
        <f>IF(D71="V",CONFIGURATOR!$O$55,CONFIGURATOR!$T$57)</f>
        <v>0004D291</v>
      </c>
      <c r="F71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
&amp;")"</f>
        <v>DCM(106:0019CC00; 107:0019CC00; 108:0019CC00; 109:0004D291; 110:0004D291; 111:0004D291; 112:0004D291; 113:0004D291; 114:0004D291; 115:0004D291; 116:0004D291; 117:0004D291; 118:0004D291)</v>
      </c>
    </row>
    <row r="72" spans="3:6">
      <c r="C72" s="8">
        <v>119</v>
      </c>
      <c r="D72" t="str">
        <f>CONFIGURATOR!P11</f>
        <v>I(CT)</v>
      </c>
      <c r="E72" t="str">
        <f>IF(D72="V",CONFIGURATOR!$O$55,CONFIGURATOR!$T$57)</f>
        <v>0004D291</v>
      </c>
      <c r="F72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
&amp;")"</f>
        <v>DCM(106:0019CC00; 107:0019CC00; 108:0019CC00; 109:0004D291; 110:0004D291; 111:0004D291; 112:0004D291; 113:0004D291; 114:0004D291; 115:0004D291; 116:0004D291; 117:0004D291; 118:0004D291; 119:0004D291)</v>
      </c>
    </row>
    <row r="73" spans="3:6">
      <c r="C73" s="8">
        <v>120</v>
      </c>
      <c r="D73" t="str">
        <f>CONFIGURATOR!Q11</f>
        <v>I(CT)</v>
      </c>
      <c r="E73" t="str">
        <f>IF(D73="V",CONFIGURATOR!$O$55,CONFIGURATOR!$T$57)</f>
        <v>0004D291</v>
      </c>
      <c r="F73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
&amp;")"</f>
        <v>DCM(106:0019CC00; 107:0019CC00; 108:0019CC00; 109:0004D291; 110:0004D291; 111:0004D291; 112:0004D291; 113:0004D291; 114:0004D291; 115:0004D291; 116:0004D291; 117:0004D291; 118:0004D291; 119:0004D291; 120:0004D291)</v>
      </c>
    </row>
    <row r="74" spans="3:6">
      <c r="C74" s="8">
        <v>121</v>
      </c>
      <c r="D74" t="str">
        <f>CONFIGURATOR!R11</f>
        <v>I(CT)</v>
      </c>
      <c r="E74" t="str">
        <f>IF(D74="V",CONFIGURATOR!$O$55,CONFIGURATOR!$T$57)</f>
        <v>0004D291</v>
      </c>
      <c r="F74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        &amp;"; "&amp;C74&amp;":"&amp;E74
&amp;")"</f>
        <v>DCM(106:0019CC00; 107:0019CC00; 108:0019CC00; 109:0004D291; 110:0004D291; 111:0004D291; 112:0004D291; 113:0004D291; 114:0004D291; 115:0004D291; 116:0004D291; 117:0004D291; 118:0004D291; 119:0004D291; 120:0004D291; 121:0004D291)</v>
      </c>
    </row>
    <row r="75" spans="3:6">
      <c r="C75" s="8">
        <v>122</v>
      </c>
      <c r="D75" t="str">
        <f>CONFIGURATOR!S11</f>
        <v>I(CT)</v>
      </c>
      <c r="E75" t="str">
        <f>IF(D75="V",CONFIGURATOR!$O$55,CONFIGURATOR!$T$57)</f>
        <v>0004D291</v>
      </c>
      <c r="F75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        &amp;"; "&amp;C74&amp;":"&amp;E74
&amp;"; "&amp;C75&amp;":"&amp;E75
&amp;")"</f>
        <v>DCM(106:0019CC00; 107:0019CC00; 108:0019CC00; 109:0004D291; 110:0004D291; 111:0004D291; 112:0004D291; 113:0004D291; 114:0004D291; 115:0004D291; 116:0004D291; 117:0004D291; 118:0004D291; 119:0004D291; 120:0004D291; 121:0004D291; 122:0004D291)</v>
      </c>
    </row>
    <row r="76" spans="3:6">
      <c r="C76" s="8">
        <v>123</v>
      </c>
      <c r="D76" t="str">
        <f>CONFIGURATOR!T11</f>
        <v>I(CT)</v>
      </c>
      <c r="E76" t="str">
        <f>IF(D76="V",CONFIGURATOR!$O$55,CONFIGURATOR!$T$57)</f>
        <v>0004D291</v>
      </c>
      <c r="F76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        &amp;"; "&amp;C74&amp;":"&amp;E74
&amp;"; "&amp;C75&amp;":"&amp;E75  &amp;"; "&amp;C76&amp;":"&amp;E76
&amp;")"</f>
        <v>DCM(106:0019CC00; 107:0019CC00; 108:0019CC00; 109:0004D291; 110:0004D291; 111:0004D291; 112:0004D291; 113:0004D291; 114:0004D291; 115:0004D291; 116:0004D291; 117:0004D291; 118:0004D291; 119:0004D291; 120:0004D291; 121:0004D291; 122:0004D291; 123:0004D291)</v>
      </c>
    </row>
    <row r="77" spans="3:6">
      <c r="C77" s="8">
        <v>124</v>
      </c>
      <c r="D77" t="str">
        <f>CONFIGURATOR!U11</f>
        <v>I(CT)</v>
      </c>
      <c r="E77" t="str">
        <f>IF(D77="V",CONFIGURATOR!$O$55,CONFIGURATOR!$T$57)</f>
        <v>0004D291</v>
      </c>
      <c r="F77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        &amp;"; "&amp;C74&amp;":"&amp;E74
&amp;"; "&amp;C75&amp;":"&amp;E75  &amp;"; "&amp;C76&amp;":"&amp;E76        &amp;"; "&amp;C77&amp;":"&amp;E77
&amp;")"</f>
        <v>DCM(106:0019CC00; 107:0019CC00; 108:0019CC00; 109:0004D291; 110:0004D291; 111:0004D291; 112:0004D291; 113:0004D291; 114:0004D291; 115:0004D291; 116:0004D291; 117:0004D291; 118:0004D291; 119:0004D291; 120:0004D291; 121:0004D291; 122:0004D291; 123:0004D291; 124:0004D291)</v>
      </c>
    </row>
    <row r="78" spans="3:6">
      <c r="C78" s="8">
        <v>125</v>
      </c>
      <c r="D78" t="str">
        <f>CONFIGURATOR!V11</f>
        <v>I(CT)</v>
      </c>
      <c r="E78" t="str">
        <f>IF(D78="V",CONFIGURATOR!$O$55,CONFIGURATOR!$T$57)</f>
        <v>0004D291</v>
      </c>
      <c r="F78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        &amp;"; "&amp;C74&amp;":"&amp;E74
&amp;"; "&amp;C75&amp;":"&amp;E75  &amp;"; "&amp;C76&amp;":"&amp;E76        &amp;"; "&amp;C77&amp;":"&amp;E77        &amp;"; "&amp;C78&amp;":"&amp;E78
&amp;")"</f>
        <v>DCM(106:0019CC00; 107:0019CC00; 108:0019CC00; 109:0004D291; 110:0004D291; 111:0004D291; 112:0004D291; 113:0004D291; 114:0004D291; 115:0004D291; 116:0004D291; 117:0004D291; 118:0004D291; 119:0004D291; 120:0004D291; 121:0004D291; 122:0004D291; 123:0004D291; 124:0004D291; 125:0004D291)</v>
      </c>
    </row>
    <row r="79" spans="3:6">
      <c r="C79" s="8">
        <v>126</v>
      </c>
      <c r="D79" t="str">
        <f>CONFIGURATOR!W11</f>
        <v>I(CT)</v>
      </c>
      <c r="E79" t="str">
        <f>IF(D79="V",CONFIGURATOR!$O$55,CONFIGURATOR!$T$57)</f>
        <v>0004D291</v>
      </c>
      <c r="F79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        &amp;"; "&amp;C74&amp;":"&amp;E74
&amp;"; "&amp;C75&amp;":"&amp;E75  &amp;"; "&amp;C76&amp;":"&amp;E76        &amp;"; "&amp;C77&amp;":"&amp;E77        &amp;"; "&amp;C78&amp;":"&amp;E78  &amp;"; "&amp;C79&amp;":"&amp;E79
&amp;")"</f>
        <v>DCM(106:0019CC00; 107:0019CC00; 108:0019CC00; 109:0004D291; 110:0004D291; 111:0004D291; 112:0004D291; 113:0004D291; 114:0004D291; 115:0004D291; 116:0004D291; 117:0004D291; 118:0004D291; 119:0004D291; 120:0004D291; 121:0004D291; 122:0004D291; 123:0004D291; 124:0004D291; 125:0004D291; 126:0004D291)</v>
      </c>
    </row>
    <row r="80" spans="3:6">
      <c r="C80" s="8">
        <v>127</v>
      </c>
      <c r="D80" t="str">
        <f>CONFIGURATOR!X11</f>
        <v>I(CT)</v>
      </c>
      <c r="E80" t="str">
        <f>IF(D80="V",CONFIGURATOR!$O$55,CONFIGURATOR!$T$57)</f>
        <v>0004D291</v>
      </c>
      <c r="F80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        &amp;"; "&amp;C74&amp;":"&amp;E74
&amp;"; "&amp;C75&amp;":"&amp;E75  &amp;"; "&amp;C76&amp;":"&amp;E76        &amp;"; "&amp;C77&amp;":"&amp;E77        &amp;"; "&amp;C78&amp;":"&amp;E78  &amp;"; "&amp;C79&amp;":"&amp;E79  &amp;"; "&amp;C80&amp;":"&amp;E80
&amp;")"</f>
        <v>DCM(106:0019CC00; 107:0019CC00; 108:0019CC00; 109:0004D291; 110:0004D291; 111:0004D291; 112:0004D291; 113:0004D291; 114:0004D291; 115:0004D291; 116:0004D291; 117:0004D291; 118:0004D291; 119:0004D291; 120:0004D291; 121:0004D291; 122:0004D291; 123:0004D291; 124:0004D291; 125:0004D291; 126:0004D291; 127:0004D291)</v>
      </c>
    </row>
    <row r="81" spans="3:6">
      <c r="C81" s="8">
        <v>128</v>
      </c>
      <c r="D81" t="str">
        <f>CONFIGURATOR!Y11</f>
        <v>I(CT)</v>
      </c>
      <c r="E81" t="str">
        <f>IF(D81="V",CONFIGURATOR!$O$55,CONFIGURATOR!$T$57)</f>
        <v>0004D291</v>
      </c>
      <c r="F81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        &amp;"; "&amp;C74&amp;":"&amp;E74
&amp;"; "&amp;C75&amp;":"&amp;E75  &amp;"; "&amp;C76&amp;":"&amp;E76        &amp;"; "&amp;C77&amp;":"&amp;E77        &amp;"; "&amp;C78&amp;":"&amp;E78  &amp;"; "&amp;C79&amp;":"&amp;E79  &amp;"; "&amp;C80&amp;":"&amp;E80    &amp;"; "&amp;C81&amp;":"&amp;E81
&amp;")"</f>
        <v>DCM(106:0019CC00; 107:0019CC00; 108:0019CC00; 109:0004D291; 110:0004D291; 111:0004D291; 112:0004D291; 113:0004D291; 114:0004D291; 115:0004D291; 116:0004D291; 117:0004D291; 118:0004D291; 119:0004D291; 120:0004D291; 121:0004D291; 122:0004D291; 123:0004D291; 124:0004D291; 125:0004D291; 126:0004D291; 127:0004D291; 128:0004D291)</v>
      </c>
    </row>
    <row r="82" spans="3:6">
      <c r="C82" s="8">
        <v>129</v>
      </c>
      <c r="D82" t="str">
        <f>CONFIGURATOR!Z11</f>
        <v>I(CT)</v>
      </c>
      <c r="E82" t="str">
        <f>IF(D82="V",CONFIGURATOR!$O$55,CONFIGURATOR!$T$57)</f>
        <v>0004D291</v>
      </c>
      <c r="F82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        &amp;"; "&amp;C74&amp;":"&amp;E74
&amp;"; "&amp;C75&amp;":"&amp;E75  &amp;"; "&amp;C76&amp;":"&amp;E76        &amp;"; "&amp;C77&amp;":"&amp;E77        &amp;"; "&amp;C78&amp;":"&amp;E78  &amp;"; "&amp;C79&amp;":"&amp;E79  &amp;"; "&amp;C80&amp;":"&amp;E80    &amp;"; "&amp;C81&amp;":"&amp;E81        &amp;"; "&amp;C82&amp;":"&amp;E82
&amp;")"</f>
        <v>DCM(106:0019CC00; 107:0019CC00; 108:0019CC00; 109:0004D291; 110:0004D291; 111:0004D291; 112:0004D291; 113:0004D291; 114:0004D291; 115:0004D291; 116:0004D291; 117:0004D291; 118:0004D291; 119:0004D291; 120:0004D291; 121:0004D291; 122:0004D291; 123:0004D291; 124:0004D291; 125:0004D291; 126:0004D291; 127:0004D291; 128:0004D291; 129:0004D291)</v>
      </c>
    </row>
    <row r="83" spans="3:6">
      <c r="C83" s="8">
        <v>130</v>
      </c>
      <c r="D83" t="str">
        <f>CONFIGURATOR!AA11</f>
        <v>I(CT)</v>
      </c>
      <c r="E83" t="str">
        <f>IF(D83="V",CONFIGURATOR!$O$55,CONFIGURATOR!$T$57)</f>
        <v>0004D291</v>
      </c>
      <c r="F83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        &amp;"; "&amp;C74&amp;":"&amp;E74
&amp;"; "&amp;C75&amp;":"&amp;E75  &amp;"; "&amp;C76&amp;":"&amp;E76        &amp;"; "&amp;C77&amp;":"&amp;E77        &amp;"; "&amp;C78&amp;":"&amp;E78  &amp;"; "&amp;C79&amp;":"&amp;E79  &amp;"; "&amp;C80&amp;":"&amp;E80    &amp;"; "&amp;C81&amp;":"&amp;E81        &amp;"; "&amp;C82&amp;":"&amp;E82
&amp;"; "&amp;C83&amp;":"&amp;E83
&amp;")"</f>
        <v>DCM(106:0019CC00; 107:0019CC00; 108:0019CC00; 109:0004D291; 110:0004D291; 111:0004D291; 112:0004D291; 113:0004D291; 114:0004D291; 115:0004D291; 116:0004D291; 117:0004D291; 118:0004D291; 119:0004D291; 120:0004D291; 121:0004D291; 122:0004D291; 123:0004D291; 124:0004D291; 125:0004D291; 126:0004D291; 127:0004D291; 128:0004D291; 129:0004D291; 130:0004D291)</v>
      </c>
    </row>
    <row r="84" spans="3:6">
      <c r="C84" s="8">
        <v>131</v>
      </c>
      <c r="D84" t="str">
        <f>CONFIGURATOR!AB11</f>
        <v>I(CT)</v>
      </c>
      <c r="E84" t="str">
        <f>IF(D84="V",CONFIGURATOR!$O$55,CONFIGURATOR!$T$57)</f>
        <v>0004D291</v>
      </c>
      <c r="F84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        &amp;"; "&amp;C74&amp;":"&amp;E74
&amp;"; "&amp;C75&amp;":"&amp;E75  &amp;"; "&amp;C76&amp;":"&amp;E76        &amp;"; "&amp;C77&amp;":"&amp;E77        &amp;"; "&amp;C78&amp;":"&amp;E78  &amp;"; "&amp;C79&amp;":"&amp;E79  &amp;"; "&amp;C80&amp;":"&amp;E80    &amp;"; "&amp;C81&amp;":"&amp;E81        &amp;"; "&amp;C82&amp;":"&amp;E82
&amp;"; "&amp;C83&amp;":"&amp;E83  &amp;"; "&amp;C84&amp;":"&amp;E84
&amp;")"</f>
        <v>DCM(106:0019CC00; 107:0019CC00; 108:0019CC00; 109:0004D291; 110:0004D291; 111:0004D291; 112:0004D291; 113:0004D291; 114:0004D291; 115:0004D291; 116:0004D291; 117:0004D291; 118:0004D291; 119:0004D291; 120:0004D291; 121:0004D291; 122:0004D291; 123:0004D291; 124:0004D291; 125:0004D291; 126:0004D291; 127:0004D291; 128:0004D291; 129:0004D291; 130:0004D291; 131:0004D291)</v>
      </c>
    </row>
    <row r="85" spans="3:6">
      <c r="C85" s="8">
        <v>132</v>
      </c>
      <c r="D85" t="str">
        <f>CONFIGURATOR!AC11</f>
        <v>I(CT)</v>
      </c>
      <c r="E85" t="str">
        <f>IF(D85="V",CONFIGURATOR!$O$55,CONFIGURATOR!$T$57)</f>
        <v>0004D291</v>
      </c>
      <c r="F85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        &amp;"; "&amp;C74&amp;":"&amp;E74
&amp;"; "&amp;C75&amp;":"&amp;E75  &amp;"; "&amp;C76&amp;":"&amp;E76        &amp;"; "&amp;C77&amp;":"&amp;E77        &amp;"; "&amp;C78&amp;":"&amp;E78  &amp;"; "&amp;C79&amp;":"&amp;E79  &amp;"; "&amp;C80&amp;":"&amp;E80    &amp;"; "&amp;C81&amp;":"&amp;E81        &amp;"; "&amp;C82&amp;":"&amp;E82
&amp;"; "&amp;C83&amp;":"&amp;E83  &amp;"; "&amp;C84&amp;":"&amp;E84        &amp;"; "&amp;C85&amp;":"&amp;E85
&amp;")"</f>
        <v>DCM(106:0019CC00; 107:0019CC00; 108:0019CC00; 109:0004D291; 110:0004D291; 111:0004D291; 112:0004D291; 113:0004D291; 114:0004D291; 115:0004D291; 116:0004D291; 117:0004D291; 118:0004D291; 119:0004D291; 120:0004D291; 121:0004D291; 122:0004D291; 123:0004D291; 124:0004D291; 125:0004D291; 126:0004D291; 127:0004D291; 128:0004D291; 129:0004D291; 130:0004D291; 131:0004D291; 132:0004D291)</v>
      </c>
    </row>
    <row r="86" spans="3:6">
      <c r="C86" s="8">
        <v>133</v>
      </c>
      <c r="D86" t="str">
        <f>CONFIGURATOR!AD11</f>
        <v>I(CT)</v>
      </c>
      <c r="E86" t="str">
        <f>IF(D86="V",CONFIGURATOR!$O$55,CONFIGURATOR!$T$57)</f>
        <v>0004D291</v>
      </c>
      <c r="F86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        &amp;"; "&amp;C74&amp;":"&amp;E74
&amp;"; "&amp;C75&amp;":"&amp;E75  &amp;"; "&amp;C76&amp;":"&amp;E76        &amp;"; "&amp;C77&amp;":"&amp;E77        &amp;"; "&amp;C78&amp;":"&amp;E78  &amp;"; "&amp;C79&amp;":"&amp;E79  &amp;"; "&amp;C80&amp;":"&amp;E80    &amp;"; "&amp;C81&amp;":"&amp;E81        &amp;"; "&amp;C82&amp;":"&amp;E82
&amp;"; "&amp;C83&amp;":"&amp;E83  &amp;"; "&amp;C84&amp;":"&amp;E84        &amp;"; "&amp;C85&amp;":"&amp;E85        &amp;"; "&amp;C86&amp;":"&amp;E86
&amp;")"</f>
        <v>DCM(106:0019CC00; 107:0019CC00; 108:0019CC00; 109:0004D291; 110:0004D291; 111:0004D291; 112:0004D291; 113:0004D291; 114:0004D291; 115:0004D291; 116:0004D291; 117:0004D291; 118:0004D291; 119:0004D291; 120:0004D291; 121:0004D291; 122:0004D291; 123:0004D291; 124:0004D291; 125:0004D291; 126:0004D291; 127:0004D291; 128:0004D291; 129:0004D291; 130:0004D291; 131:0004D291; 132:0004D291; 133:0004D291)</v>
      </c>
    </row>
    <row r="87" spans="3:6">
      <c r="C87" s="8">
        <v>134</v>
      </c>
      <c r="D87" t="str">
        <f>CONFIGURATOR!AE11</f>
        <v>I(CT)</v>
      </c>
      <c r="E87" t="str">
        <f>IF(D87="V",CONFIGURATOR!$O$55,CONFIGURATOR!$T$57)</f>
        <v>0004D291</v>
      </c>
      <c r="F87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        &amp;"; "&amp;C74&amp;":"&amp;E74
&amp;"; "&amp;C75&amp;":"&amp;E75  &amp;"; "&amp;C76&amp;":"&amp;E76        &amp;"; "&amp;C77&amp;":"&amp;E77        &amp;"; "&amp;C78&amp;":"&amp;E78  &amp;"; "&amp;C79&amp;":"&amp;E79  &amp;"; "&amp;C80&amp;":"&amp;E80    &amp;"; "&amp;C81&amp;":"&amp;E81        &amp;"; "&amp;C82&amp;":"&amp;E82
&amp;"; "&amp;C83&amp;":"&amp;E83  &amp;"; "&amp;C84&amp;":"&amp;E84        &amp;"; "&amp;C85&amp;":"&amp;E85        &amp;"; "&amp;C86&amp;":"&amp;E86  &amp;"; "&amp;C87&amp;":"&amp;E87
&amp;")"</f>
        <v>DCM(106:0019CC00; 107:0019CC00; 108:0019CC00; 109:0004D291; 110:0004D291; 111:0004D291; 112:0004D291; 113:0004D291; 114:0004D291; 115:0004D291; 116:0004D291; 117:0004D291; 118:0004D291; 119:0004D291; 120:0004D291; 121:0004D291; 122:0004D291; 123:0004D291; 124:0004D291; 125:0004D291; 126:0004D291; 127:0004D291; 128:0004D291; 129:0004D291; 130:0004D291; 131:0004D291; 132:0004D291; 133:0004D291; 134:0004D291)</v>
      </c>
    </row>
    <row r="88" spans="3:6">
      <c r="C88" s="8">
        <v>135</v>
      </c>
      <c r="D88" t="str">
        <f>CONFIGURATOR!AF11</f>
        <v>I(CT)</v>
      </c>
      <c r="E88" t="str">
        <f>IF(D88="V",CONFIGURATOR!$O$55,CONFIGURATOR!$T$57)</f>
        <v>0004D291</v>
      </c>
      <c r="F88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        &amp;"; "&amp;C74&amp;":"&amp;E74
&amp;"; "&amp;C75&amp;":"&amp;E75  &amp;"; "&amp;C76&amp;":"&amp;E76        &amp;"; "&amp;C77&amp;":"&amp;E77        &amp;"; "&amp;C78&amp;":"&amp;E78  &amp;"; "&amp;C79&amp;":"&amp;E79  &amp;"; "&amp;C80&amp;":"&amp;E80    &amp;"; "&amp;C81&amp;":"&amp;E81        &amp;"; "&amp;C82&amp;":"&amp;E82
&amp;"; "&amp;C83&amp;":"&amp;E83  &amp;"; "&amp;C84&amp;":"&amp;E84        &amp;"; "&amp;C85&amp;":"&amp;E85        &amp;"; "&amp;C86&amp;":"&amp;E86  &amp;"; "&amp;C87&amp;":"&amp;E87     &amp;"; "&amp;C88&amp;":"&amp;E88
&amp;")"</f>
        <v>DCM(106:0019CC00; 107:0019CC00; 108:0019CC00; 109:0004D291; 110:0004D291; 111:0004D291; 112:0004D291; 113:0004D291; 114:0004D291; 115:0004D291; 116:0004D291; 117:0004D291; 118:0004D291; 119:0004D291; 120:0004D291; 121:0004D291; 122:0004D291; 123:0004D291; 124:0004D291; 125:0004D291; 126:0004D291; 127:0004D291; 128:0004D291; 129:0004D291; 130:0004D291; 131:0004D291; 132:0004D291; 133:0004D291; 134:0004D291; 135:0004D291)</v>
      </c>
    </row>
    <row r="89" spans="3:6">
      <c r="C89" s="8">
        <v>136</v>
      </c>
      <c r="D89" t="str">
        <f>CONFIGURATOR!AG11</f>
        <v>I(CT)</v>
      </c>
      <c r="E89" t="str">
        <f>IF(D89="V",CONFIGURATOR!$O$55,CONFIGURATOR!$T$57)</f>
        <v>0004D291</v>
      </c>
      <c r="F89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        &amp;"; "&amp;C74&amp;":"&amp;E74
&amp;"; "&amp;C75&amp;":"&amp;E75  &amp;"; "&amp;C76&amp;":"&amp;E76        &amp;"; "&amp;C77&amp;":"&amp;E77        &amp;"; "&amp;C78&amp;":"&amp;E78  &amp;"; "&amp;C79&amp;":"&amp;E79  &amp;"; "&amp;C80&amp;":"&amp;E80    &amp;"; "&amp;C81&amp;":"&amp;E81        &amp;"; "&amp;C82&amp;":"&amp;E82
&amp;"; "&amp;C83&amp;":"&amp;E83  &amp;"; "&amp;C84&amp;":"&amp;E84        &amp;"; "&amp;C85&amp;":"&amp;E85        &amp;"; "&amp;C86&amp;":"&amp;E86  &amp;"; "&amp;C87&amp;":"&amp;E87     &amp;"; "&amp;C88&amp;":"&amp;E88    &amp;"; "&amp;C89&amp;":"&amp;E89
&amp;")"</f>
        <v>DCM(106:0019CC00; 107:0019CC00; 108:0019CC00; 109:0004D291; 110:0004D291; 111:0004D291; 112:0004D291; 113:0004D291; 114:0004D291; 115:0004D291; 116:0004D291; 117:0004D291; 118:0004D291; 119:0004D291; 120:0004D291; 121:0004D291; 122:0004D291; 123:0004D291; 124:0004D291; 125:0004D291; 126:0004D291; 127:0004D291; 128:0004D291; 129:0004D291; 130:0004D291; 131:0004D291; 132:0004D291; 133:0004D291; 134:0004D291; 135:0004D291; 136:0004D291)</v>
      </c>
    </row>
    <row r="90" spans="3:6">
      <c r="C90" s="8">
        <v>137</v>
      </c>
      <c r="D90" t="str">
        <f>CONFIGURATOR!AH11</f>
        <v>I(CT)</v>
      </c>
      <c r="E90" t="str">
        <f>IF(D90="V",CONFIGURATOR!$O$55,CONFIGURATOR!$T$57)</f>
        <v>0004D291</v>
      </c>
      <c r="F90" s="50" t="str">
        <f>"DCM("&amp;C59&amp;":"&amp;E59      &amp;"; "&amp;C60&amp;":"&amp;E60        &amp;"; "&amp;C61&amp;":"&amp;E61        &amp;"; "&amp;C62&amp;":"&amp;E62       &amp;"; "&amp;C63&amp;":"&amp;E63        &amp;"; "&amp;C64&amp;":"&amp;E64    &amp;"; "&amp;C65&amp;":"&amp;E65        &amp;"; "&amp;C66&amp;":"&amp;E66
&amp;"; "&amp;C67&amp;":"&amp;E67  &amp;"; "&amp;C68&amp;":"&amp;E68        &amp;"; "&amp;C69&amp;":"&amp;E69        &amp;"; "&amp;C70&amp;":"&amp;E70 &amp;"; "&amp;C71&amp;":"&amp;E71    &amp;"; "&amp;C72&amp;":"&amp;E72    &amp;"; "&amp;C73&amp;":"&amp;E73        &amp;"; "&amp;C74&amp;":"&amp;E74
&amp;"; "&amp;C75&amp;":"&amp;E75  &amp;"; "&amp;C76&amp;":"&amp;E76        &amp;"; "&amp;C77&amp;":"&amp;E77        &amp;"; "&amp;C78&amp;":"&amp;E78  &amp;"; "&amp;C79&amp;":"&amp;E79  &amp;"; "&amp;C80&amp;":"&amp;E80    &amp;"; "&amp;C81&amp;":"&amp;E81        &amp;"; "&amp;C82&amp;":"&amp;E82
&amp;"; "&amp;C83&amp;":"&amp;E83  &amp;"; "&amp;C84&amp;":"&amp;E84        &amp;"; "&amp;C85&amp;":"&amp;E85        &amp;"; "&amp;C86&amp;":"&amp;E86  &amp;"; "&amp;C87&amp;":"&amp;E87     &amp;"; "&amp;C88&amp;":"&amp;E88    &amp;"; "&amp;C89&amp;":"&amp;E89        &amp;"; "&amp;C90&amp;":"&amp;E90
&amp;")"</f>
        <v>DCM(106:0019CC00; 107:0019CC00; 108:0019CC00; 109:0004D291; 110:0004D291; 111:0004D291; 112:0004D291; 113:0004D291; 114:0004D291; 115:0004D291; 116:0004D291; 117:0004D291; 118:0004D291; 119:0004D291; 120:0004D291; 121:0004D291; 122:0004D291; 123:0004D291; 124:0004D291; 125:0004D291; 126:0004D291; 127:0004D291; 128:0004D291; 129:0004D291; 130:0004D291; 131:0004D291; 132:0004D291; 133:0004D291; 134:0004D291; 135:0004D291; 136:0004D291; 137:0004D291)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1D00-8829-433C-A731-1E7F834CA6C9}">
  <sheetPr>
    <pageSetUpPr fitToPage="1"/>
  </sheetPr>
  <dimension ref="A2:BA340"/>
  <sheetViews>
    <sheetView topLeftCell="A3" zoomScale="110" zoomScaleNormal="110" workbookViewId="0">
      <selection activeCell="AV1" sqref="AV1"/>
    </sheetView>
  </sheetViews>
  <sheetFormatPr defaultRowHeight="15"/>
  <cols>
    <col min="1" max="1" width="79.42578125" style="1" bestFit="1" customWidth="1"/>
    <col min="2" max="2" width="12" style="3" customWidth="1"/>
    <col min="3" max="3" width="11" bestFit="1" customWidth="1"/>
    <col min="4" max="4" width="5" style="88" customWidth="1"/>
    <col min="5" max="5" width="4" style="88" customWidth="1"/>
    <col min="6" max="6" width="4" style="89" customWidth="1"/>
    <col min="7" max="7" width="4.85546875" style="93" customWidth="1"/>
    <col min="8" max="8" width="17.28515625" style="93" bestFit="1" customWidth="1"/>
    <col min="9" max="9" width="14.28515625" style="93" customWidth="1"/>
    <col min="10" max="10" width="10.7109375" style="93" customWidth="1"/>
    <col min="11" max="11" width="16.28515625" style="93" customWidth="1"/>
    <col min="12" max="12" width="22.42578125" style="93" customWidth="1"/>
    <col min="13" max="13" width="12.7109375" style="80" bestFit="1" customWidth="1"/>
    <col min="14" max="14" width="5.140625" style="88" customWidth="1"/>
    <col min="15" max="15" width="4" style="88" customWidth="1"/>
    <col min="16" max="16" width="4" style="89" customWidth="1"/>
    <col min="17" max="17" width="4.85546875" style="93" customWidth="1"/>
    <col min="18" max="18" width="17.28515625" style="93" bestFit="1" customWidth="1"/>
    <col min="19" max="19" width="14.28515625" style="93" customWidth="1"/>
    <col min="20" max="20" width="10.7109375" style="93" customWidth="1"/>
    <col min="21" max="21" width="16.28515625" style="93" customWidth="1"/>
    <col min="22" max="22" width="22.42578125" style="93" customWidth="1"/>
    <col min="23" max="23" width="13.7109375" customWidth="1"/>
    <col min="24" max="24" width="5" style="88" customWidth="1"/>
    <col min="25" max="25" width="4" style="88" customWidth="1"/>
    <col min="26" max="26" width="4" style="89" customWidth="1"/>
    <col min="27" max="27" width="4.85546875" style="93" customWidth="1"/>
    <col min="28" max="28" width="17.28515625" style="93" bestFit="1" customWidth="1"/>
    <col min="29" max="29" width="14.28515625" style="93" customWidth="1"/>
    <col min="30" max="30" width="10.7109375" style="93" customWidth="1"/>
    <col min="31" max="31" width="16.28515625" style="93" customWidth="1"/>
    <col min="32" max="32" width="22.42578125" style="93" customWidth="1"/>
    <col min="34" max="35" width="9.140625" style="13"/>
    <col min="36" max="36" width="10.42578125" style="13" customWidth="1"/>
    <col min="37" max="37" width="15.140625" style="13" customWidth="1"/>
    <col min="38" max="38" width="14.42578125" style="13" customWidth="1"/>
    <col min="39" max="39" width="9.42578125" style="13" customWidth="1"/>
    <col min="40" max="41" width="9.140625" style="13"/>
    <col min="42" max="42" width="20.28515625" style="13" customWidth="1"/>
    <col min="43" max="45" width="9.140625" style="13"/>
    <col min="46" max="46" width="11.28515625" style="13" customWidth="1"/>
    <col min="47" max="47" width="21.140625" style="13" customWidth="1"/>
    <col min="48" max="48" width="15.7109375" style="13" customWidth="1"/>
    <col min="49" max="51" width="9.140625" style="13"/>
    <col min="53" max="53" width="204.5703125" customWidth="1"/>
  </cols>
  <sheetData>
    <row r="2" spans="1:53" ht="17.25" customHeight="1">
      <c r="A2" s="147"/>
      <c r="B2"/>
      <c r="D2" s="80"/>
      <c r="E2" s="80"/>
      <c r="F2" s="80"/>
      <c r="G2" s="80"/>
      <c r="H2" s="80"/>
      <c r="I2" s="80"/>
      <c r="J2" s="80"/>
      <c r="K2" s="80"/>
      <c r="L2" s="80"/>
      <c r="N2" s="80"/>
      <c r="O2" s="80"/>
      <c r="P2" s="80"/>
      <c r="Q2" s="80"/>
      <c r="R2" s="80"/>
      <c r="S2" s="80"/>
      <c r="T2" s="80"/>
      <c r="U2" s="80"/>
      <c r="V2" s="80"/>
      <c r="X2" s="80"/>
      <c r="Y2" s="80"/>
      <c r="Z2" s="80"/>
      <c r="AA2" s="80"/>
      <c r="AB2" s="80"/>
      <c r="AC2" s="80"/>
      <c r="AD2" s="80"/>
      <c r="AE2" s="80"/>
      <c r="AF2" s="80"/>
    </row>
    <row r="3" spans="1:53" ht="15.75" customHeight="1">
      <c r="A3" s="147"/>
      <c r="B3"/>
      <c r="D3" s="80"/>
      <c r="E3" s="80"/>
      <c r="F3" s="80"/>
      <c r="G3" s="80"/>
      <c r="H3" s="80"/>
      <c r="I3" s="80"/>
      <c r="J3" s="80"/>
      <c r="K3" s="80"/>
      <c r="L3" s="80"/>
      <c r="N3" s="80"/>
      <c r="O3" s="80"/>
      <c r="P3" s="80"/>
      <c r="Q3" s="80"/>
      <c r="R3" s="80"/>
      <c r="S3" s="80"/>
      <c r="T3" s="80"/>
      <c r="U3" s="80"/>
      <c r="V3" s="80"/>
      <c r="X3" s="80"/>
      <c r="Y3" s="80"/>
      <c r="Z3" s="80"/>
      <c r="AA3" s="80"/>
      <c r="AB3" s="80"/>
      <c r="AC3" s="80"/>
      <c r="AD3" s="80"/>
      <c r="AE3" s="80"/>
      <c r="AF3" s="80"/>
      <c r="AH3" s="13" t="s">
        <v>377</v>
      </c>
    </row>
    <row r="4" spans="1:53" ht="15.75" customHeight="1">
      <c r="A4" s="147"/>
      <c r="B4"/>
      <c r="D4" s="80"/>
      <c r="E4" s="80"/>
      <c r="F4" s="80"/>
      <c r="G4" s="80"/>
      <c r="H4" s="80"/>
      <c r="I4" s="80"/>
      <c r="J4" s="80"/>
      <c r="K4" s="80"/>
      <c r="L4" s="80"/>
      <c r="N4" s="80"/>
      <c r="O4" s="80"/>
      <c r="P4" s="80"/>
      <c r="Q4" s="80"/>
      <c r="R4" s="80"/>
      <c r="S4" s="80"/>
      <c r="T4" s="80"/>
      <c r="U4" s="80"/>
      <c r="V4" s="80"/>
      <c r="X4" s="80"/>
      <c r="Y4" s="80"/>
      <c r="Z4" s="80"/>
      <c r="AA4" s="80"/>
      <c r="AB4" s="80"/>
      <c r="AC4" s="80"/>
      <c r="AD4" s="80"/>
      <c r="AE4" s="80"/>
      <c r="AF4" s="80"/>
      <c r="AR4" s="13">
        <f ca="1">AR9*220/219.97</f>
        <v>1.0222844685292336</v>
      </c>
      <c r="AT4" s="13" t="str">
        <f ca="1">DEC2HEX(INT(AR4*2^29+0.5),8)</f>
        <v>20B68DEB</v>
      </c>
    </row>
    <row r="5" spans="1:53">
      <c r="D5" s="81" t="s">
        <v>347</v>
      </c>
      <c r="E5" s="82"/>
      <c r="F5" s="83"/>
      <c r="G5" s="84"/>
      <c r="H5" s="84"/>
      <c r="I5" s="84"/>
      <c r="J5" s="84"/>
      <c r="K5" s="84"/>
      <c r="L5" s="84"/>
      <c r="N5" s="81" t="s">
        <v>346</v>
      </c>
      <c r="O5" s="82"/>
      <c r="P5" s="83"/>
      <c r="Q5" s="84"/>
      <c r="R5" s="84"/>
      <c r="S5" s="84"/>
      <c r="T5" s="84"/>
      <c r="U5" s="84"/>
      <c r="V5" s="84"/>
      <c r="X5" s="81" t="s">
        <v>355</v>
      </c>
      <c r="Y5" s="82"/>
      <c r="Z5" s="83"/>
      <c r="AA5" s="84"/>
      <c r="AB5" s="84"/>
      <c r="AC5" s="84"/>
      <c r="AD5" s="84"/>
      <c r="AE5" s="84"/>
      <c r="AF5" s="84"/>
      <c r="AJ5" s="13" t="s">
        <v>402</v>
      </c>
    </row>
    <row r="6" spans="1:53">
      <c r="A6" s="25" t="str">
        <f>'CALIBRATION GUIDE'!B57</f>
        <v>PAR[I]</v>
      </c>
      <c r="D6" s="81" t="s">
        <v>348</v>
      </c>
      <c r="E6" s="85" t="s">
        <v>102</v>
      </c>
      <c r="F6" s="86"/>
      <c r="G6" s="87" t="s">
        <v>349</v>
      </c>
      <c r="H6" s="87" t="s">
        <v>350</v>
      </c>
      <c r="I6" s="87" t="s">
        <v>28</v>
      </c>
      <c r="J6" s="87" t="s">
        <v>351</v>
      </c>
      <c r="K6" s="87" t="s">
        <v>352</v>
      </c>
      <c r="L6" s="87" t="s">
        <v>353</v>
      </c>
      <c r="N6" s="81" t="s">
        <v>348</v>
      </c>
      <c r="O6" s="85" t="s">
        <v>102</v>
      </c>
      <c r="P6" s="86"/>
      <c r="Q6" s="87" t="s">
        <v>349</v>
      </c>
      <c r="R6" s="87" t="s">
        <v>350</v>
      </c>
      <c r="S6" s="87" t="s">
        <v>28</v>
      </c>
      <c r="T6" s="87" t="s">
        <v>351</v>
      </c>
      <c r="U6" s="87" t="s">
        <v>352</v>
      </c>
      <c r="V6" s="87" t="s">
        <v>353</v>
      </c>
      <c r="X6" s="81" t="s">
        <v>348</v>
      </c>
      <c r="Y6" s="85" t="s">
        <v>102</v>
      </c>
      <c r="Z6" s="86"/>
      <c r="AA6" s="87" t="s">
        <v>349</v>
      </c>
      <c r="AB6" s="87" t="s">
        <v>350</v>
      </c>
      <c r="AC6" s="87" t="s">
        <v>28</v>
      </c>
      <c r="AD6" s="87" t="s">
        <v>351</v>
      </c>
      <c r="AE6" s="87" t="s">
        <v>352</v>
      </c>
      <c r="AF6" s="87" t="s">
        <v>353</v>
      </c>
      <c r="AH6" s="96" t="s">
        <v>380</v>
      </c>
      <c r="AI6" s="96" t="s">
        <v>101</v>
      </c>
      <c r="AJ6" s="96" t="s">
        <v>399</v>
      </c>
      <c r="AK6" s="96" t="s">
        <v>400</v>
      </c>
      <c r="AL6" s="96" t="s">
        <v>401</v>
      </c>
      <c r="AM6" s="96" t="s">
        <v>106</v>
      </c>
      <c r="AN6" s="96" t="s">
        <v>378</v>
      </c>
      <c r="AO6" s="96" t="s">
        <v>379</v>
      </c>
      <c r="AP6" s="96" t="s">
        <v>382</v>
      </c>
      <c r="AQ6" s="96" t="s">
        <v>383</v>
      </c>
      <c r="AR6" s="96" t="s">
        <v>381</v>
      </c>
      <c r="AS6" s="96" t="s">
        <v>395</v>
      </c>
      <c r="AT6" s="96" t="s">
        <v>390</v>
      </c>
      <c r="AU6" s="96" t="s">
        <v>384</v>
      </c>
      <c r="AV6" s="96" t="s">
        <v>386</v>
      </c>
      <c r="AW6" s="96" t="s">
        <v>387</v>
      </c>
      <c r="AX6" s="96" t="s">
        <v>385</v>
      </c>
      <c r="AY6" s="96" t="s">
        <v>395</v>
      </c>
      <c r="AZ6" s="96" t="s">
        <v>390</v>
      </c>
      <c r="BA6" s="96" t="s">
        <v>394</v>
      </c>
    </row>
    <row r="7" spans="1:53">
      <c r="A7" s="79" t="str">
        <f>'CALIBRATION GUIDE'!B58</f>
        <v>Present RMS values are :</v>
      </c>
      <c r="B7" s="6"/>
      <c r="D7" s="88">
        <v>27</v>
      </c>
      <c r="E7" s="88">
        <v>1</v>
      </c>
      <c r="G7" s="88" t="str">
        <f ca="1">MID(INDIRECT(ADDRESS(D7,1)),(E7-1)*19+1,3)</f>
        <v>000</v>
      </c>
      <c r="H7" s="90" t="str">
        <f t="shared" ref="H7:H70" ca="1" si="0">TRIM(MID(INDIRECT(ADDRESS(D7,1)),(E7-1)*19+4,16))</f>
        <v>STATE_CTRL</v>
      </c>
      <c r="I7" s="91" t="str">
        <f t="shared" ref="I7:I70" ca="1" si="1">TRIM(MID(INDIRECT(ADDRESS(D7+1,1)),(E7-1)*19+1,19))</f>
        <v>2</v>
      </c>
      <c r="J7" s="92" t="s">
        <v>7</v>
      </c>
      <c r="K7" s="92">
        <f t="shared" ref="K7:K15" ca="1" si="2">(HEX2DEC(LEFT(REPT("0",16-LEN(I7))&amp;I7,10))*16^6+HEX2DEC(RIGHT(I7,6)))/2^(0+MID(J7,FIND(".",J7)+1,2))</f>
        <v>2</v>
      </c>
      <c r="L7" s="80"/>
      <c r="N7" s="88">
        <v>170</v>
      </c>
      <c r="O7" s="88">
        <v>1</v>
      </c>
      <c r="Q7" s="88" t="str">
        <f ca="1">MID(INDIRECT(ADDRESS(N7,1)),(O7-1)*19+1,3)</f>
        <v>000</v>
      </c>
      <c r="R7" s="90" t="str">
        <f t="shared" ref="R7:R70" ca="1" si="3">TRIM(MID(INDIRECT(ADDRESS(N7,1)),(O7-1)*19+4,16))</f>
        <v>VERSION</v>
      </c>
      <c r="S7" s="91" t="str">
        <f t="shared" ref="S7:S46" ca="1" si="4">TRIM(MID(INDIRECT(ADDRESS(N7+1,1)),(O7-1)*19+1,19))</f>
        <v>40000</v>
      </c>
      <c r="T7" s="92" t="s">
        <v>7</v>
      </c>
      <c r="U7" s="92">
        <f t="shared" ref="U7:U15" ca="1" si="5">(HEX2DEC(LEFT(REPT("0",16-LEN(S7))&amp;S7,10))*16^6+HEX2DEC(RIGHT(S7,6)))/2^(0+MID(T7,FIND(".",T7)+1,2))</f>
        <v>262144</v>
      </c>
      <c r="V7" s="80"/>
      <c r="X7" s="88">
        <v>233</v>
      </c>
      <c r="Y7" s="88">
        <v>1</v>
      </c>
      <c r="AA7" s="88" t="str">
        <f ca="1">MID(INDIRECT(ADDRESS(X7,1)),(Y7-1)*19+1,3)</f>
        <v>000</v>
      </c>
      <c r="AB7" s="90" t="str">
        <f t="shared" ref="AB7:AB70" ca="1" si="6">TRIM(MID(INDIRECT(ADDRESS(X7,1)),(Y7-1)*19+4,16))</f>
        <v>CH0</v>
      </c>
      <c r="AC7" s="91" t="str">
        <f t="shared" ref="AC7:AC46" ca="1" si="7">TRIM(MID(INDIRECT(ADDRESS(X7+1,1)),(Y7-1)*19+1,19))</f>
        <v>43E625E2D4D1</v>
      </c>
      <c r="AD7" s="92" t="s">
        <v>20</v>
      </c>
      <c r="AE7" s="92">
        <f t="shared" ref="AE7:AE15" ca="1" si="8">(HEX2DEC(LEFT(REPT("0",16-LEN(AC7))&amp;AC7,10))*16^6+HEX2DEC(RIGHT(AC7,6)))/2^(0+MID(AD7,FIND(".",AD7)+1,2))</f>
        <v>67.899015595395213</v>
      </c>
      <c r="AF7" s="80">
        <f ca="1">SQRT(AE7/$U$16)*K113</f>
        <v>215.10416349349441</v>
      </c>
      <c r="AH7" s="13">
        <f>'CALIBRATION GUIDE'!B13</f>
        <v>0</v>
      </c>
      <c r="AI7" s="13" t="str">
        <f>'CALIBRATION GUIDE'!C13</f>
        <v>V</v>
      </c>
      <c r="AJ7" s="13" t="str">
        <f>IF('CALIBRATION GUIDE'!C13="V"," ",    IF(ISNA(MATCH(AH7,CONFIGURATOR!$D$21:$D$51,0))=TRUE," ",MATCH(AH7,CONFIGURATOR!$D$21:$D$51,0)-1)       )</f>
        <v xml:space="preserve"> </v>
      </c>
      <c r="AK7" s="13" t="str" cm="1">
        <f t="array" aca="1" ref="AK7" ca="1">IF(AJ7=" "," ",INDIRECT(ADDRESS(103+AJ7,31)))</f>
        <v xml:space="preserve"> </v>
      </c>
      <c r="AL7" s="13" t="str" cm="1">
        <f t="array" aca="1" ref="AL7" ca="1">IF(AJ7=" "," ",INDIRECT(ADDRESS(135+AJ7,31)))</f>
        <v xml:space="preserve"> </v>
      </c>
      <c r="AM7" s="13" t="str">
        <f t="shared" ref="AM7:AM9" si="9">IF(AJ7=" ", " ",        IF(OR(AK7=0,AL7=0),0,           DEGREES(ATAN2(AK7,AL7))))</f>
        <v xml:space="preserve"> </v>
      </c>
      <c r="AN7" s="13">
        <f ca="1">AF7</f>
        <v>215.10416349349441</v>
      </c>
      <c r="AO7" s="13">
        <f>'CALIBRATION GUIDE'!D13</f>
        <v>220</v>
      </c>
      <c r="AP7" s="13">
        <f ca="1">K145</f>
        <v>1</v>
      </c>
      <c r="AQ7" s="13">
        <f ca="1">IF(AN7&gt;0,AO7/AN7,1)</f>
        <v>1.0227603056444496</v>
      </c>
      <c r="AR7" s="13">
        <f ca="1">IF((AQ7*AP7)&lt;4,AQ7*AP7,1)</f>
        <v>1.0227603056444496</v>
      </c>
      <c r="AS7" s="13">
        <v>138</v>
      </c>
      <c r="AT7" s="13" t="str">
        <f ca="1">IF('CALIBRATION GUIDE'!E13="Y",RIGHT(DEC2HEX(INT(AR7*2^29+0.5),8),8)," ")</f>
        <v>20BA73D2</v>
      </c>
      <c r="AU7" s="13">
        <f t="shared" ref="AU7:AU38" ca="1" si="10">K177</f>
        <v>0</v>
      </c>
      <c r="AV7" s="110">
        <f>IF(AM7=" ",0,AM7-'CALIBRATION GUIDE'!$C$8)</f>
        <v>0</v>
      </c>
      <c r="AW7" s="13">
        <f>IF(AV7=0, 0, AV7*60/'CALIBRATION GUIDE'!$C$7)</f>
        <v>0</v>
      </c>
      <c r="AX7" s="13">
        <f ca="1">AW7+AU7</f>
        <v>0</v>
      </c>
      <c r="AY7" s="13">
        <v>170</v>
      </c>
      <c r="AZ7">
        <f>IF('CALIBRATION GUIDE'!E13="Y",IF(AI7="V",0,RIGHT(DEC2HEX((AX7)/180*2^31),8)), " ")</f>
        <v>0</v>
      </c>
      <c r="BA7" t="str">
        <f ca="1">"DCM(" &amp;  IF(AT7=" ", "",  AS7&amp;":"&amp;AT7)  &amp;  IF(AT8=" ", "",  "; "&amp;AS8&amp;":"&amp;AT8)    &amp;  IF(AT9=" ", "", "; "&amp; AS9&amp;":"&amp;AT9)   &amp;  IF(AT10=" ", "",  "; "&amp;AS10&amp;":"&amp;AT10)   &amp;  IF(AT11=" ", "",  "; "&amp;AS11&amp;":"&amp;AT11)  &amp;  IF(AT12=" ", "",  "; "&amp;AS12&amp;":"&amp;AT12)    &amp;  IF(AT13=" ", "",  "; "&amp;AS13&amp;":"&amp;AT13)  &amp;  IF(AT14=" ", "",  "; "&amp;AS14&amp;":"&amp;AT14)
        &amp;  IF(AT15=" ", "",  "; "&amp;AS15&amp;":"&amp;AT15)  &amp;  IF(AT16=" ", "",  "; "&amp;AS16&amp;":"&amp;AT16)    &amp;  IF(AT17=" ", "",  "; "&amp;AS17&amp;":"&amp;AT17)   &amp;  IF(AT18=" ", "",  "; "&amp;AS18&amp;":"&amp;AT18)   &amp;  IF(AT19=" ", "",  "; "&amp;AS19&amp;":"&amp;AT19)     &amp;  IF(AT20=" ", "",  "; "&amp;AS20&amp;":"&amp;AT20)   &amp;  IF(AT21=" ", "",  "; "&amp;AS21&amp;":"&amp;AT21)   &amp;  IF(AT22=" ", "",  "; "&amp;AS22&amp;":"&amp;AT22)
       &amp;  IF(AT23=" ", "", "; "&amp; AS23&amp;":"&amp;AT23)    &amp;  IF(AT24=" ", "", "; "&amp; AS24&amp;":"&amp;AT24)       &amp;  IF(AT25=" ", "",  "; "&amp;AS25&amp;":"&amp;AT25)    &amp;  IF(AT26=" ", "",  "; "&amp;AS26&amp;":"&amp;AT26)    &amp;  IF(AT27=" ", "",  "; "&amp;AS27&amp;":"&amp;AT27)     &amp;  IF(AT28=" ", "",  "; "&amp;AS28&amp;":"&amp;AT28)       &amp;  IF(AT29=" ", "",  "; "&amp;AS29&amp;":"&amp;AT29)        &amp;  IF(AT30=" ", "",  "; "&amp;AS30&amp;":"&amp;AT30)
       &amp;  IF(AT31=" ", "",  "; "&amp;AS31&amp;":"&amp;AT31)    &amp;IF(AT32=" ", "",  "; "&amp;AS32&amp;":"&amp;AT32)                &amp;  IF(AT33=" ", "",  "; "&amp;AS33&amp;":"&amp;AT33)        &amp;  IF(AT34=" ", "",  "; "&amp;AS34&amp;":"&amp;AT34)         &amp;  IF(AT35=" ", "",  "; "&amp;AS35&amp;":"&amp;AT35)      &amp;  IF(AT36=" ", "",  "; "&amp;AS36&amp;":"&amp;AT36)         &amp;  IF(AT37=" ", "",  "; "&amp;AS37&amp;":"&amp;AT37)     &amp;  IF(AT38=" ", "",  "; "&amp;AS38&amp;":"&amp;AT38)
    &amp;")"</f>
        <v>DCM(138:20BA73D2; 139:20B77771; 140:20B56992; 141:1F5D9BA8; 142:1F73A467; 143:1F74DAC6)</v>
      </c>
    </row>
    <row r="8" spans="1:53">
      <c r="A8" s="79" t="str">
        <f>'CALIBRATION GUIDE'!B59</f>
        <v>CH00=215.114V CH01=215.121V CH02=215.170V CH03=30.600A</v>
      </c>
      <c r="B8" s="6"/>
      <c r="D8" s="88">
        <v>27</v>
      </c>
      <c r="E8" s="88">
        <v>2</v>
      </c>
      <c r="G8" s="88" t="str">
        <f t="shared" ref="G8:G71" ca="1" si="11">MID(INDIRECT(ADDRESS(D8,1)),(E8-1)*19+1,3)</f>
        <v>001</v>
      </c>
      <c r="H8" s="90" t="str">
        <f t="shared" ca="1" si="0"/>
        <v>FEATURE_CTRL0</v>
      </c>
      <c r="I8" s="91" t="str">
        <f t="shared" ca="1" si="1"/>
        <v>300</v>
      </c>
      <c r="J8" s="92" t="s">
        <v>7</v>
      </c>
      <c r="K8" s="92">
        <f t="shared" ca="1" si="2"/>
        <v>768</v>
      </c>
      <c r="L8" s="80"/>
      <c r="N8" s="88">
        <v>170</v>
      </c>
      <c r="O8" s="88">
        <v>2</v>
      </c>
      <c r="Q8" s="88" t="str">
        <f t="shared" ref="Q8:Q71" ca="1" si="12">MID(INDIRECT(ADDRESS(N8,1)),(O8-1)*19+1,3)</f>
        <v>001</v>
      </c>
      <c r="R8" s="90" t="str">
        <f t="shared" ca="1" si="3"/>
        <v>STATUS</v>
      </c>
      <c r="S8" s="91" t="str">
        <f t="shared" ca="1" si="4"/>
        <v>8</v>
      </c>
      <c r="T8" s="92" t="s">
        <v>7</v>
      </c>
      <c r="U8" s="92">
        <f t="shared" ca="1" si="5"/>
        <v>8</v>
      </c>
      <c r="V8" s="80"/>
      <c r="X8" s="88">
        <v>233</v>
      </c>
      <c r="Y8" s="88">
        <v>2</v>
      </c>
      <c r="AA8" s="88" t="str">
        <f t="shared" ref="AA8:AA71" ca="1" si="13">MID(INDIRECT(ADDRESS(X8,1)),(Y8-1)*19+1,3)</f>
        <v>001</v>
      </c>
      <c r="AB8" s="90" t="str">
        <f t="shared" ca="1" si="6"/>
        <v>CH1</v>
      </c>
      <c r="AC8" s="91" t="str">
        <f t="shared" ca="1" si="7"/>
        <v>43F28B30BCA2</v>
      </c>
      <c r="AD8" s="92" t="s">
        <v>20</v>
      </c>
      <c r="AE8" s="92">
        <f t="shared" ca="1" si="8"/>
        <v>67.947436376622136</v>
      </c>
      <c r="AF8" s="80">
        <f t="shared" ref="AF8:AF38" ca="1" si="14">SQRT(AE8/$U$16)*K114</f>
        <v>215.18084837110445</v>
      </c>
      <c r="AH8" s="13">
        <f>'CALIBRATION GUIDE'!B14</f>
        <v>1</v>
      </c>
      <c r="AI8" s="13" t="str">
        <f>'CALIBRATION GUIDE'!C14</f>
        <v>V</v>
      </c>
      <c r="AJ8" s="13" t="str">
        <f>IF('CALIBRATION GUIDE'!C14="V"," ",    IF(ISNA(MATCH(AH8,CONFIGURATOR!$D$21:$D$51,0))=TRUE," ",MATCH(AH8,CONFIGURATOR!$D$21:$D$51,0)-1)       )</f>
        <v xml:space="preserve"> </v>
      </c>
      <c r="AK8" s="13" t="str" cm="1">
        <f t="array" aca="1" ref="AK8" ca="1">IF(AJ8=" "," ",INDIRECT(ADDRESS(103+AJ8,31)))</f>
        <v xml:space="preserve"> </v>
      </c>
      <c r="AL8" s="13" t="str" cm="1">
        <f t="array" aca="1" ref="AL8" ca="1">IF(AJ8=" "," ",INDIRECT(ADDRESS(135+AJ8,31)))</f>
        <v xml:space="preserve"> </v>
      </c>
      <c r="AM8" s="13" t="str">
        <f t="shared" si="9"/>
        <v xml:space="preserve"> </v>
      </c>
      <c r="AN8" s="13">
        <f t="shared" ref="AN8:AN38" ca="1" si="15">AF8</f>
        <v>215.18084837110445</v>
      </c>
      <c r="AO8" s="13">
        <f>'CALIBRATION GUIDE'!D14</f>
        <v>220</v>
      </c>
      <c r="AP8" s="13">
        <f t="shared" ref="AP8:AP38" ca="1" si="16">K146</f>
        <v>1</v>
      </c>
      <c r="AQ8" s="13">
        <f t="shared" ref="AQ8:AQ38" ca="1" si="17">IF(AN8&gt;0,AO8/AN8,1)</f>
        <v>1.0223958203779566</v>
      </c>
      <c r="AR8" s="13">
        <f t="shared" ref="AR8:AR38" ca="1" si="18">IF((AQ8*AP8)&lt;4,AQ8*AP8,1)</f>
        <v>1.0223958203779566</v>
      </c>
      <c r="AS8" s="13">
        <f>1+AS7</f>
        <v>139</v>
      </c>
      <c r="AT8" s="13" t="str">
        <f ca="1">IF('CALIBRATION GUIDE'!E14="Y",RIGHT(DEC2HEX(INT(AR8*2^29+0.5),8),8)," ")</f>
        <v>20B77771</v>
      </c>
      <c r="AU8" s="13">
        <f t="shared" ca="1" si="10"/>
        <v>0</v>
      </c>
      <c r="AV8" s="110">
        <f>IF(AM8=" ",0,AM8-'CALIBRATION GUIDE'!$C$8)</f>
        <v>0</v>
      </c>
      <c r="AW8" s="13">
        <f>IF(AV8=0, 0, AV8*60/'CALIBRATION GUIDE'!$C$7)</f>
        <v>0</v>
      </c>
      <c r="AX8" s="13">
        <f t="shared" ref="AX8:AX38" ca="1" si="19">AW8+AU8</f>
        <v>0</v>
      </c>
      <c r="AY8" s="13">
        <f>1+AY7</f>
        <v>171</v>
      </c>
      <c r="AZ8">
        <f>IF('CALIBRATION GUIDE'!E14="Y",IF(AI8="V",0,RIGHT(DEC2HEX((AX8)/180*2^31),8)), " ")</f>
        <v>0</v>
      </c>
    </row>
    <row r="9" spans="1:53">
      <c r="A9" s="79" t="str">
        <f>'CALIBRATION GUIDE'!B60</f>
        <v>CH04=30.520A CH05=30.518A CH06=0.004A CH07=0.009V</v>
      </c>
      <c r="D9" s="88">
        <v>27</v>
      </c>
      <c r="E9" s="88">
        <v>3</v>
      </c>
      <c r="G9" s="88" t="str">
        <f t="shared" ca="1" si="11"/>
        <v>002</v>
      </c>
      <c r="H9" s="90" t="str">
        <f t="shared" ca="1" si="0"/>
        <v>FEATURE_CTRL1</v>
      </c>
      <c r="I9" s="91" t="str">
        <f t="shared" ca="1" si="1"/>
        <v>0</v>
      </c>
      <c r="J9" s="92" t="s">
        <v>7</v>
      </c>
      <c r="K9" s="92">
        <f t="shared" ca="1" si="2"/>
        <v>0</v>
      </c>
      <c r="L9" s="80"/>
      <c r="N9" s="88">
        <v>170</v>
      </c>
      <c r="O9" s="88">
        <v>3</v>
      </c>
      <c r="Q9" s="88" t="str">
        <f t="shared" ca="1" si="12"/>
        <v>002</v>
      </c>
      <c r="R9" s="90" t="str">
        <f t="shared" ca="1" si="3"/>
        <v>STATE_FLAG</v>
      </c>
      <c r="S9" s="91" t="str">
        <f t="shared" ca="1" si="4"/>
        <v>20</v>
      </c>
      <c r="T9" s="92" t="s">
        <v>7</v>
      </c>
      <c r="U9" s="92">
        <f t="shared" ca="1" si="5"/>
        <v>32</v>
      </c>
      <c r="V9" s="80"/>
      <c r="X9" s="88">
        <v>233</v>
      </c>
      <c r="Y9" s="88">
        <v>3</v>
      </c>
      <c r="AA9" s="88" t="str">
        <f t="shared" ca="1" si="13"/>
        <v>002</v>
      </c>
      <c r="AB9" s="90" t="str">
        <f t="shared" ca="1" si="6"/>
        <v>CH2</v>
      </c>
      <c r="AC9" s="91" t="str">
        <f t="shared" ca="1" si="7"/>
        <v>43FB144B5222</v>
      </c>
      <c r="AD9" s="92" t="s">
        <v>20</v>
      </c>
      <c r="AE9" s="92">
        <f t="shared" ca="1" si="8"/>
        <v>67.980778415252644</v>
      </c>
      <c r="AF9" s="80">
        <f t="shared" ca="1" si="14"/>
        <v>215.23363688389534</v>
      </c>
      <c r="AH9" s="13">
        <f>'CALIBRATION GUIDE'!B15</f>
        <v>2</v>
      </c>
      <c r="AI9" s="13" t="str">
        <f>'CALIBRATION GUIDE'!C15</f>
        <v>V</v>
      </c>
      <c r="AJ9" s="13" t="str">
        <f>IF('CALIBRATION GUIDE'!C15="V"," ",    IF(ISNA(MATCH(AH9,CONFIGURATOR!$D$21:$D$51,0))=TRUE," ",MATCH(AH9,CONFIGURATOR!$D$21:$D$51,0)-1)       )</f>
        <v xml:space="preserve"> </v>
      </c>
      <c r="AK9" s="13" t="str" cm="1">
        <f t="array" aca="1" ref="AK9" ca="1">IF(AJ9=" "," ",INDIRECT(ADDRESS(103+AJ9,31)))</f>
        <v xml:space="preserve"> </v>
      </c>
      <c r="AL9" s="13" t="str" cm="1">
        <f t="array" aca="1" ref="AL9" ca="1">IF(AJ9=" "," ",INDIRECT(ADDRESS(135+AJ9,31)))</f>
        <v xml:space="preserve"> </v>
      </c>
      <c r="AM9" s="13" t="str">
        <f t="shared" si="9"/>
        <v xml:space="preserve"> </v>
      </c>
      <c r="AN9" s="13">
        <f t="shared" ca="1" si="15"/>
        <v>215.23363688389534</v>
      </c>
      <c r="AO9" s="13">
        <f>'CALIBRATION GUIDE'!D15</f>
        <v>220</v>
      </c>
      <c r="AP9" s="13">
        <f t="shared" ca="1" si="16"/>
        <v>1</v>
      </c>
      <c r="AQ9" s="13">
        <f t="shared" ca="1" si="17"/>
        <v>1.0221450661017069</v>
      </c>
      <c r="AR9" s="13">
        <f t="shared" ca="1" si="18"/>
        <v>1.0221450661017069</v>
      </c>
      <c r="AS9" s="13">
        <f t="shared" ref="AS9:AS38" si="20">1+AS8</f>
        <v>140</v>
      </c>
      <c r="AT9" s="13" t="str">
        <f ca="1">IF('CALIBRATION GUIDE'!E15="Y",RIGHT(DEC2HEX(INT(AR9*2^29+0.5),8),8)," ")</f>
        <v>20B56992</v>
      </c>
      <c r="AU9" s="13">
        <f t="shared" ca="1" si="10"/>
        <v>0</v>
      </c>
      <c r="AV9" s="110">
        <f>IF(AM9=" ",0,AM9-'CALIBRATION GUIDE'!$C$8)</f>
        <v>0</v>
      </c>
      <c r="AW9" s="13">
        <f>IF(AV9=0, 0, AV9*60/'CALIBRATION GUIDE'!$C$7)</f>
        <v>0</v>
      </c>
      <c r="AX9" s="13">
        <f t="shared" ca="1" si="19"/>
        <v>0</v>
      </c>
      <c r="AY9" s="13">
        <f t="shared" ref="AY9:AY38" si="21">1+AY8</f>
        <v>172</v>
      </c>
      <c r="AZ9">
        <f>IF('CALIBRATION GUIDE'!E15="Y",IF(AI9="V",0,RIGHT(DEC2HEX((AX9)/180*2^31),8)), " ")</f>
        <v>0</v>
      </c>
      <c r="BA9" s="96" t="s">
        <v>396</v>
      </c>
    </row>
    <row r="10" spans="1:53" ht="15.75" customHeight="1">
      <c r="A10" s="79" t="str">
        <f>'CALIBRATION GUIDE'!B61</f>
        <v>CH08=0.000A CH09=0.000V CH10=0.000A CH11=0.000V</v>
      </c>
      <c r="D10" s="88">
        <v>27</v>
      </c>
      <c r="E10" s="88">
        <v>4</v>
      </c>
      <c r="G10" s="88" t="str">
        <f t="shared" ca="1" si="11"/>
        <v>003</v>
      </c>
      <c r="H10" s="90" t="str">
        <f t="shared" ca="1" si="0"/>
        <v>RESERVED_C003</v>
      </c>
      <c r="I10" s="91" t="str">
        <f t="shared" ca="1" si="1"/>
        <v>0</v>
      </c>
      <c r="J10" s="92" t="s">
        <v>7</v>
      </c>
      <c r="K10" s="92">
        <f t="shared" ca="1" si="2"/>
        <v>0</v>
      </c>
      <c r="L10" s="80"/>
      <c r="N10" s="88">
        <v>170</v>
      </c>
      <c r="O10" s="88">
        <v>4</v>
      </c>
      <c r="Q10" s="88" t="str">
        <f t="shared" ca="1" si="12"/>
        <v>003</v>
      </c>
      <c r="R10" s="90" t="str">
        <f t="shared" ca="1" si="3"/>
        <v>SWELL_OV_FLAG</v>
      </c>
      <c r="S10" s="91" t="str">
        <f t="shared" ca="1" si="4"/>
        <v>5</v>
      </c>
      <c r="T10" s="92" t="s">
        <v>7</v>
      </c>
      <c r="U10" s="92">
        <f t="shared" ca="1" si="5"/>
        <v>5</v>
      </c>
      <c r="V10" s="80"/>
      <c r="X10" s="88">
        <v>233</v>
      </c>
      <c r="Y10" s="88">
        <v>4</v>
      </c>
      <c r="AA10" s="88" t="str">
        <f t="shared" ca="1" si="13"/>
        <v>003</v>
      </c>
      <c r="AB10" s="90" t="str">
        <f t="shared" ca="1" si="6"/>
        <v>CH3</v>
      </c>
      <c r="AC10" s="91" t="str">
        <f t="shared" ca="1" si="7"/>
        <v>9D576EF0D84</v>
      </c>
      <c r="AD10" s="92" t="s">
        <v>20</v>
      </c>
      <c r="AE10" s="92">
        <f t="shared" ca="1" si="8"/>
        <v>9.833846035766328</v>
      </c>
      <c r="AF10" s="80">
        <f t="shared" ca="1" si="14"/>
        <v>30.606724418502111</v>
      </c>
      <c r="AH10" s="13">
        <f>'CALIBRATION GUIDE'!B16</f>
        <v>3</v>
      </c>
      <c r="AI10" s="13" t="str">
        <f>'CALIBRATION GUIDE'!C16</f>
        <v>I(CT)</v>
      </c>
      <c r="AJ10" s="13">
        <f>IF('CALIBRATION GUIDE'!C16="V"," ",    IF(ISNA(MATCH(AH10,CONFIGURATOR!$D$21:$D$51,0))=TRUE," ",MATCH(AH10,CONFIGURATOR!$D$21:$D$51,0)-1)       )</f>
        <v>0</v>
      </c>
      <c r="AK10" s="13" cm="1">
        <f t="array" aca="1" ref="AK10" ca="1">IF(AJ10=" "," ",INDIRECT(ADDRESS(103+AJ10,31)))</f>
        <v>12.939915091861621</v>
      </c>
      <c r="AL10" s="13" cm="1">
        <f t="array" aca="1" ref="AL10" ca="1">IF(AJ10=" "," ",INDIRECT(ADDRESS(135+AJ10,31)))</f>
        <v>22.3617159714222</v>
      </c>
      <c r="AM10" s="13">
        <f ca="1">IF(AJ10=" ", " ",        IF(OR(AK10=0,AL10=0),0,           DEGREES(ATAN2(AK10,AL10))))</f>
        <v>59.943588133044585</v>
      </c>
      <c r="AN10" s="13">
        <f t="shared" ca="1" si="15"/>
        <v>30.606724418502111</v>
      </c>
      <c r="AO10" s="13">
        <f>'CALIBRATION GUIDE'!D16</f>
        <v>30</v>
      </c>
      <c r="AP10" s="13">
        <f t="shared" ca="1" si="16"/>
        <v>1</v>
      </c>
      <c r="AQ10" s="13">
        <f t="shared" ca="1" si="17"/>
        <v>0.98017676082529959</v>
      </c>
      <c r="AR10" s="13">
        <f t="shared" ca="1" si="18"/>
        <v>0.98017676082529959</v>
      </c>
      <c r="AS10" s="13">
        <f t="shared" si="20"/>
        <v>141</v>
      </c>
      <c r="AT10" s="13" t="str">
        <f ca="1">IF('CALIBRATION GUIDE'!E16="Y",RIGHT(DEC2HEX(INT(AR10*2^29+0.5),8),8)," ")</f>
        <v>1F5D9BA8</v>
      </c>
      <c r="AU10" s="13">
        <f t="shared" ca="1" si="10"/>
        <v>0</v>
      </c>
      <c r="AV10" s="110">
        <f ca="1">IF(AM10=" ",0,AM10-'CALIBRATION GUIDE'!$C$8)</f>
        <v>-5.641186695541478E-2</v>
      </c>
      <c r="AW10" s="13">
        <f ca="1">IF(AV10=0, 0, AV10*60/'CALIBRATION GUIDE'!$C$7)</f>
        <v>-6.7694240346497736E-2</v>
      </c>
      <c r="AX10" s="13">
        <f t="shared" ca="1" si="19"/>
        <v>-6.7694240346497736E-2</v>
      </c>
      <c r="AY10" s="13">
        <f t="shared" si="21"/>
        <v>173</v>
      </c>
      <c r="AZ10" t="str">
        <f ca="1">IF('CALIBRATION GUIDE'!E16="Y",IF(AI10="V",0,RIGHT(DEC2HEX((AX10)/180*2^31),8)), " ")</f>
        <v>FFF3AD39</v>
      </c>
      <c r="BA10" s="7" t="str">
        <f ca="1">"DCM(" &amp;  IF(AZ7=" ", "",  AY7&amp;":"&amp;AZ7)  &amp;  IF(AZ8=" ", "",  "; "&amp;AY8&amp;":"&amp;AZ8)    &amp;  IF(AZ9=" ", "", "; "&amp; AY9&amp;":"&amp;AZ9)   &amp;  IF(AZ10=" ", "",  "; "&amp;AY10&amp;":"&amp;AZ10)   &amp;  IF(AZ11=" ", "",  "; "&amp;AY11&amp;":"&amp;AZ11)  &amp;  IF(AZ12=" ", "",  "; "&amp;AY12&amp;":"&amp;AZ12)    &amp;  IF(AZ13=" ", "",  "; "&amp;AY13&amp;":"&amp;AZ13)  &amp;  IF(AZ14=" ", "",  "; "&amp;AY14&amp;":"&amp;AZ14)
        &amp;  IF(AZ15=" ", "",  "; "&amp;AY15&amp;":"&amp;AZ15)  &amp;  IF(AZ16=" ", "",  "; "&amp;AY16&amp;":"&amp;AZ16)    &amp;  IF(AZ17=" ", "",  "; "&amp;AY17&amp;":"&amp;AZ17)   &amp;  IF(AZ18=" ", "",  "; "&amp;AY18&amp;":"&amp;AZ18)   &amp;  IF(AZ19=" ", "",  "; "&amp;AY19&amp;":"&amp;AZ19)     &amp;  IF(AZ20=" ", "",  "; "&amp;AY20&amp;":"&amp;AZ20)   &amp;  IF(AZ21=" ", "",  "; "&amp;AY21&amp;":"&amp;AZ21)   &amp;  IF(AZ22=" ", "",  "; "&amp;AY22&amp;":"&amp;AZ22)
       &amp;  IF(AZ23=" ", "", "; "&amp; AY23&amp;":"&amp;AZ23)    &amp;  IF(AZ24=" ", "", "; "&amp; AY24&amp;":"&amp;AZ24)       &amp;  IF(AZ25=" ", "",  "; "&amp;AY25&amp;":"&amp;AZ25)    &amp;  IF(AZ26=" ", "",  "; "&amp;AY26&amp;":"&amp;AZ26)    &amp;  IF(AZ27=" ", "",  "; "&amp;AY27&amp;":"&amp;AZ27)     &amp;  IF(AZ28=" ", "",  "; "&amp;AY28&amp;":"&amp;AZ28)       &amp;  IF(AZ29=" ", "",  "; "&amp;AY29&amp;":"&amp;AZ29)        &amp;  IF(AZ30=" ", "",  "; "&amp;AY30&amp;":"&amp;AZ30)
       &amp;  IF(AZ31=" ", "",  "; "&amp;AY31&amp;":"&amp;AZ31)    &amp;IF(AZ32=" ", "",  "; "&amp;AY32&amp;":"&amp;AZ32)                &amp;  IF(AZ33=" ", "",  "; "&amp;AY33&amp;":"&amp;AZ33)        &amp;  IF(AZ34=" ", "",  "; "&amp;AY34&amp;":"&amp;AZ34)         &amp;  IF(AZ35=" ", "",  "; "&amp;AY35&amp;":"&amp;AZ35)      &amp;  IF(AZ36=" ", "",  "; "&amp;AY36&amp;":"&amp;AZ36)         &amp;  IF(AZ37=" ", "",  "; "&amp;AY37&amp;":"&amp;AZ37)     &amp;  IF(AZ38=" ", "",  "; "&amp;AY38&amp;":"&amp;AZ38)
    &amp;")"</f>
        <v>DCM(170:0; 171:0; 172:0; 173:FFF3AD39; 174:FFF22FC1; 175:FFF0A58D)</v>
      </c>
    </row>
    <row r="11" spans="1:53" s="7" customFormat="1">
      <c r="A11" s="79" t="str">
        <f>'CALIBRATION GUIDE'!B62</f>
        <v>CH12=0.000A CH13=0.000A CH14=0.000A CH15=0.000A</v>
      </c>
      <c r="D11" s="88">
        <f>D7+2</f>
        <v>29</v>
      </c>
      <c r="E11" s="88">
        <v>1</v>
      </c>
      <c r="F11" s="89"/>
      <c r="G11" s="88" t="str">
        <f t="shared" ca="1" si="11"/>
        <v>004</v>
      </c>
      <c r="H11" s="90" t="str">
        <f t="shared" ca="1" si="0"/>
        <v>PH_SRC_0_1</v>
      </c>
      <c r="I11" s="91" t="str">
        <f t="shared" ca="1" si="1"/>
        <v>4010300</v>
      </c>
      <c r="J11" s="92" t="s">
        <v>7</v>
      </c>
      <c r="K11" s="92">
        <f t="shared" ca="1" si="2"/>
        <v>67175168</v>
      </c>
      <c r="L11" s="80"/>
      <c r="M11" s="80"/>
      <c r="N11" s="88">
        <f>N7+2</f>
        <v>172</v>
      </c>
      <c r="O11" s="88">
        <v>1</v>
      </c>
      <c r="P11" s="89"/>
      <c r="Q11" s="88" t="str">
        <f t="shared" ca="1" si="12"/>
        <v>004</v>
      </c>
      <c r="R11" s="90" t="str">
        <f t="shared" ca="1" si="3"/>
        <v>SAG_FLAG</v>
      </c>
      <c r="S11" s="91" t="str">
        <f t="shared" ca="1" si="4"/>
        <v>80</v>
      </c>
      <c r="T11" s="92" t="s">
        <v>7</v>
      </c>
      <c r="U11" s="92">
        <f t="shared" ca="1" si="5"/>
        <v>128</v>
      </c>
      <c r="V11" s="80"/>
      <c r="X11" s="88">
        <f>X7+2</f>
        <v>235</v>
      </c>
      <c r="Y11" s="88">
        <v>1</v>
      </c>
      <c r="Z11" s="89"/>
      <c r="AA11" s="88" t="str">
        <f t="shared" ca="1" si="13"/>
        <v>004</v>
      </c>
      <c r="AB11" s="90" t="str">
        <f t="shared" ca="1" si="6"/>
        <v>CH4</v>
      </c>
      <c r="AC11" s="91" t="str">
        <f t="shared" ca="1" si="7"/>
        <v>9C7B46F175B</v>
      </c>
      <c r="AD11" s="92" t="s">
        <v>20</v>
      </c>
      <c r="AE11" s="92">
        <f t="shared" ca="1" si="8"/>
        <v>9.7800969535846889</v>
      </c>
      <c r="AF11" s="80">
        <f t="shared" ca="1" si="14"/>
        <v>30.522965866814324</v>
      </c>
      <c r="AH11" s="13">
        <f>'CALIBRATION GUIDE'!B17</f>
        <v>4</v>
      </c>
      <c r="AI11" s="13" t="str">
        <f>'CALIBRATION GUIDE'!C17</f>
        <v>I(CT)</v>
      </c>
      <c r="AJ11" s="13">
        <f>IF('CALIBRATION GUIDE'!C17="V"," ",    IF(ISNA(MATCH(AH11,CONFIGURATOR!$D$21:$D$51,0))=TRUE," ",MATCH(AH11,CONFIGURATOR!$D$21:$D$51,0)-1)       )</f>
        <v>1</v>
      </c>
      <c r="AK11" s="13" cm="1">
        <f t="array" aca="1" ref="AK11" ca="1">IF(AJ11=" "," ",INDIRECT(ADDRESS(103+AJ11,31)))</f>
        <v>12.917101281733267</v>
      </c>
      <c r="AL11" s="13" cm="1">
        <f t="array" aca="1" ref="AL11" ca="1">IF(AJ11=" "," ",INDIRECT(ADDRESS(135+AJ11,31)))</f>
        <v>22.316161951741378</v>
      </c>
      <c r="AM11" s="13">
        <f t="shared" ref="AM11:AM38" ca="1" si="22">IF(AJ11=" ", " ",        IF(OR(AK11=0,AL11=0),0,           DEGREES(ATAN2(AK11,AL11))))</f>
        <v>59.936766966857171</v>
      </c>
      <c r="AN11" s="13">
        <f t="shared" ca="1" si="15"/>
        <v>30.522965866814324</v>
      </c>
      <c r="AO11" s="13">
        <f>'CALIBRATION GUIDE'!D17</f>
        <v>30</v>
      </c>
      <c r="AP11" s="13">
        <f t="shared" ca="1" si="16"/>
        <v>1</v>
      </c>
      <c r="AQ11" s="13">
        <f t="shared" ca="1" si="17"/>
        <v>0.98286647932261029</v>
      </c>
      <c r="AR11" s="13">
        <f t="shared" ca="1" si="18"/>
        <v>0.98286647932261029</v>
      </c>
      <c r="AS11" s="13">
        <f t="shared" si="20"/>
        <v>142</v>
      </c>
      <c r="AT11" s="13" t="str">
        <f ca="1">IF('CALIBRATION GUIDE'!E17="Y",RIGHT(DEC2HEX(INT(AR11*2^29+0.5),8),8)," ")</f>
        <v>1F73A467</v>
      </c>
      <c r="AU11" s="13">
        <f t="shared" ca="1" si="10"/>
        <v>0</v>
      </c>
      <c r="AV11" s="110">
        <f ca="1">IF(AM11=" ",0,AM11-'CALIBRATION GUIDE'!$C$8)</f>
        <v>-6.3233033142829242E-2</v>
      </c>
      <c r="AW11" s="13">
        <f ca="1">IF(AV11=0, 0, AV11*60/'CALIBRATION GUIDE'!$C$7)</f>
        <v>-7.5879639771395085E-2</v>
      </c>
      <c r="AX11" s="13">
        <f t="shared" ca="1" si="19"/>
        <v>-7.5879639771395085E-2</v>
      </c>
      <c r="AY11" s="13">
        <f t="shared" si="21"/>
        <v>174</v>
      </c>
      <c r="AZ11" t="str">
        <f ca="1">IF('CALIBRATION GUIDE'!E17="Y",IF(AI11="V",0,RIGHT(DEC2HEX((AX11)/180*2^31),8)), " ")</f>
        <v>FFF22FC1</v>
      </c>
    </row>
    <row r="12" spans="1:53">
      <c r="A12" s="79" t="str">
        <f>'CALIBRATION GUIDE'!B63</f>
        <v>CH16=0.000A CH17=0.000A CH18=0.000A CH19=0.000A</v>
      </c>
      <c r="D12" s="88">
        <f t="shared" ref="D12:D75" si="23">D8+2</f>
        <v>29</v>
      </c>
      <c r="E12" s="88">
        <v>2</v>
      </c>
      <c r="G12" s="88" t="str">
        <f t="shared" ca="1" si="11"/>
        <v>005</v>
      </c>
      <c r="H12" s="90" t="str">
        <f t="shared" ca="1" si="0"/>
        <v>PH_SRC_2_3</v>
      </c>
      <c r="I12" s="91" t="str">
        <f t="shared" ca="1" si="1"/>
        <v>502</v>
      </c>
      <c r="J12" s="92" t="s">
        <v>7</v>
      </c>
      <c r="K12" s="92">
        <f t="shared" ca="1" si="2"/>
        <v>1282</v>
      </c>
      <c r="L12" s="80"/>
      <c r="N12" s="88">
        <f t="shared" ref="N12:N75" si="24">N8+2</f>
        <v>172</v>
      </c>
      <c r="O12" s="88">
        <v>2</v>
      </c>
      <c r="Q12" s="88" t="str">
        <f t="shared" ca="1" si="12"/>
        <v>005</v>
      </c>
      <c r="R12" s="90" t="str">
        <f t="shared" ca="1" si="3"/>
        <v>CREEP_FLAG</v>
      </c>
      <c r="S12" s="91" t="str">
        <f t="shared" ca="1" si="4"/>
        <v>0</v>
      </c>
      <c r="T12" s="92" t="s">
        <v>7</v>
      </c>
      <c r="U12" s="92">
        <f t="shared" ca="1" si="5"/>
        <v>0</v>
      </c>
      <c r="V12" s="80"/>
      <c r="X12" s="88">
        <f t="shared" ref="X12:X75" si="25">X8+2</f>
        <v>235</v>
      </c>
      <c r="Y12" s="88">
        <v>2</v>
      </c>
      <c r="AA12" s="88" t="str">
        <f t="shared" ca="1" si="13"/>
        <v>005</v>
      </c>
      <c r="AB12" s="90" t="str">
        <f t="shared" ca="1" si="6"/>
        <v>CH5</v>
      </c>
      <c r="AC12" s="91" t="str">
        <f t="shared" ca="1" si="7"/>
        <v>9C6F3742EA8</v>
      </c>
      <c r="AD12" s="92" t="s">
        <v>20</v>
      </c>
      <c r="AE12" s="92">
        <f t="shared" ca="1" si="8"/>
        <v>9.7771523107439862</v>
      </c>
      <c r="AF12" s="80">
        <f t="shared" ca="1" si="14"/>
        <v>30.518370513634821</v>
      </c>
      <c r="AH12" s="13">
        <f>'CALIBRATION GUIDE'!B18</f>
        <v>5</v>
      </c>
      <c r="AI12" s="13" t="str">
        <f>'CALIBRATION GUIDE'!C18</f>
        <v>I(CT)</v>
      </c>
      <c r="AJ12" s="13">
        <f>IF('CALIBRATION GUIDE'!C18="V"," ",    IF(ISNA(MATCH(AH12,CONFIGURATOR!$D$21:$D$51,0))=TRUE," ",MATCH(AH12,CONFIGURATOR!$D$21:$D$51,0)-1)       )</f>
        <v>2</v>
      </c>
      <c r="AK12" s="13" cm="1">
        <f t="array" aca="1" ref="AK12" ca="1">IF(AJ12=" "," ",INDIRECT(ADDRESS(103+AJ12,31)))</f>
        <v>12.916564880178157</v>
      </c>
      <c r="AL12" s="13" cm="1">
        <f t="array" aca="1" ref="AL12" ca="1">IF(AJ12=" "," ",INDIRECT(ADDRESS(135+AJ12,31)))</f>
        <v>22.308904480889396</v>
      </c>
      <c r="AM12" s="13">
        <f t="shared" ca="1" si="22"/>
        <v>59.929718057130287</v>
      </c>
      <c r="AN12" s="13">
        <f t="shared" ca="1" si="15"/>
        <v>30.518370513634821</v>
      </c>
      <c r="AO12" s="13">
        <f>'CALIBRATION GUIDE'!D18</f>
        <v>30</v>
      </c>
      <c r="AP12" s="13">
        <f t="shared" ca="1" si="16"/>
        <v>1</v>
      </c>
      <c r="AQ12" s="13">
        <f t="shared" ca="1" si="17"/>
        <v>0.98301447603818737</v>
      </c>
      <c r="AR12" s="13">
        <f t="shared" ca="1" si="18"/>
        <v>0.98301447603818737</v>
      </c>
      <c r="AS12" s="13">
        <f t="shared" si="20"/>
        <v>143</v>
      </c>
      <c r="AT12" s="13" t="str">
        <f ca="1">IF('CALIBRATION GUIDE'!E18="Y",RIGHT(DEC2HEX(INT(AR12*2^29+0.5),8),8)," ")</f>
        <v>1F74DAC6</v>
      </c>
      <c r="AU12" s="13">
        <f t="shared" ca="1" si="10"/>
        <v>0</v>
      </c>
      <c r="AV12" s="110">
        <f ca="1">IF(AM12=" ",0,AM12-'CALIBRATION GUIDE'!$C$8)</f>
        <v>-7.0281942869712566E-2</v>
      </c>
      <c r="AW12" s="13">
        <f ca="1">IF(AV12=0, 0, AV12*60/'CALIBRATION GUIDE'!$C$7)</f>
        <v>-8.4338331443655074E-2</v>
      </c>
      <c r="AX12" s="13">
        <f t="shared" ca="1" si="19"/>
        <v>-8.4338331443655074E-2</v>
      </c>
      <c r="AY12" s="13">
        <f t="shared" si="21"/>
        <v>175</v>
      </c>
      <c r="AZ12" t="str">
        <f ca="1">IF('CALIBRATION GUIDE'!E18="Y",IF(AI12="V",0,RIGHT(DEC2HEX((AX12)/180*2^31),8)), " ")</f>
        <v>FFF0A58D</v>
      </c>
    </row>
    <row r="13" spans="1:53">
      <c r="A13" s="79" t="str">
        <f>'CALIBRATION GUIDE'!B64</f>
        <v>CH20=0.000A CH21=0.000A CH22=0.000A CH23=0.000A</v>
      </c>
      <c r="D13" s="88">
        <f t="shared" si="23"/>
        <v>29</v>
      </c>
      <c r="E13" s="88">
        <v>3</v>
      </c>
      <c r="G13" s="88" t="str">
        <f t="shared" ca="1" si="11"/>
        <v>006</v>
      </c>
      <c r="H13" s="90" t="str">
        <f t="shared" ca="1" si="0"/>
        <v>PH_SRC_4_5</v>
      </c>
      <c r="I13" s="91" t="str">
        <f t="shared" ca="1" si="1"/>
        <v>0</v>
      </c>
      <c r="J13" s="92" t="s">
        <v>7</v>
      </c>
      <c r="K13" s="92">
        <f t="shared" ca="1" si="2"/>
        <v>0</v>
      </c>
      <c r="L13" s="80"/>
      <c r="N13" s="88">
        <f t="shared" si="24"/>
        <v>172</v>
      </c>
      <c r="O13" s="88">
        <v>3</v>
      </c>
      <c r="Q13" s="88" t="str">
        <f t="shared" ca="1" si="12"/>
        <v>006</v>
      </c>
      <c r="R13" s="90" t="str">
        <f t="shared" ca="1" si="3"/>
        <v>PH_ACTIVE_FLAG</v>
      </c>
      <c r="S13" s="91" t="str">
        <f t="shared" ca="1" si="4"/>
        <v>7</v>
      </c>
      <c r="T13" s="92" t="s">
        <v>7</v>
      </c>
      <c r="U13" s="92">
        <f t="shared" ca="1" si="5"/>
        <v>7</v>
      </c>
      <c r="V13" s="80"/>
      <c r="X13" s="88">
        <f t="shared" si="25"/>
        <v>235</v>
      </c>
      <c r="Y13" s="88">
        <v>3</v>
      </c>
      <c r="AA13" s="88" t="str">
        <f t="shared" ca="1" si="13"/>
        <v>006</v>
      </c>
      <c r="AB13" s="90" t="str">
        <f t="shared" ca="1" si="6"/>
        <v>CH6</v>
      </c>
      <c r="AC13" s="91" t="str">
        <f t="shared" ca="1" si="7"/>
        <v>2705D</v>
      </c>
      <c r="AD13" s="92" t="s">
        <v>20</v>
      </c>
      <c r="AE13" s="92">
        <f t="shared" ca="1" si="8"/>
        <v>1.4537090464727953E-7</v>
      </c>
      <c r="AF13" s="80">
        <f t="shared" ca="1" si="14"/>
        <v>3.7212932697729979E-3</v>
      </c>
      <c r="AH13" s="13">
        <f>'CALIBRATION GUIDE'!B19</f>
        <v>6</v>
      </c>
      <c r="AI13" s="13" t="str">
        <f>'CALIBRATION GUIDE'!C19</f>
        <v>I(CT)</v>
      </c>
      <c r="AJ13" s="13">
        <f>IF('CALIBRATION GUIDE'!C19="V"," ",    IF(ISNA(MATCH(AH13,CONFIGURATOR!$D$21:$D$51,0))=TRUE," ",MATCH(AH13,CONFIGURATOR!$D$21:$D$51,0)-1)       )</f>
        <v>3</v>
      </c>
      <c r="AK13" s="13" cm="1">
        <f t="array" aca="1" ref="AK13" ca="1">IF(AJ13=" "," ",INDIRECT(ADDRESS(103+AJ13,31)))</f>
        <v>0</v>
      </c>
      <c r="AL13" s="13" cm="1">
        <f t="array" aca="1" ref="AL13" ca="1">IF(AJ13=" "," ",INDIRECT(ADDRESS(135+AJ13,31)))</f>
        <v>0</v>
      </c>
      <c r="AM13" s="13">
        <f t="shared" ca="1" si="22"/>
        <v>0</v>
      </c>
      <c r="AN13" s="13">
        <f t="shared" ca="1" si="15"/>
        <v>3.7212932697729979E-3</v>
      </c>
      <c r="AO13" s="13">
        <f>'CALIBRATION GUIDE'!D19</f>
        <v>30</v>
      </c>
      <c r="AP13" s="13">
        <f t="shared" ca="1" si="16"/>
        <v>1</v>
      </c>
      <c r="AQ13" s="13">
        <f t="shared" ca="1" si="17"/>
        <v>8061.7134488381844</v>
      </c>
      <c r="AR13" s="13">
        <f t="shared" ca="1" si="18"/>
        <v>1</v>
      </c>
      <c r="AS13" s="13">
        <f t="shared" si="20"/>
        <v>144</v>
      </c>
      <c r="AT13" s="13" t="str">
        <f>IF('CALIBRATION GUIDE'!E19="Y",RIGHT(DEC2HEX(INT(AR13*2^29+0.5),8),8)," ")</f>
        <v xml:space="preserve"> </v>
      </c>
      <c r="AU13" s="13">
        <f t="shared" ca="1" si="10"/>
        <v>0</v>
      </c>
      <c r="AV13" s="110">
        <f ca="1">IF(AM13=" ",0,AM13-'CALIBRATION GUIDE'!$C$8)</f>
        <v>-60</v>
      </c>
      <c r="AW13" s="13">
        <f ca="1">IF(AV13=0, 0, AV13*60/'CALIBRATION GUIDE'!$C$7)</f>
        <v>-72</v>
      </c>
      <c r="AX13" s="13">
        <f t="shared" ca="1" si="19"/>
        <v>-72</v>
      </c>
      <c r="AY13" s="13">
        <f t="shared" si="21"/>
        <v>176</v>
      </c>
      <c r="AZ13" t="str">
        <f>IF('CALIBRATION GUIDE'!E19="Y",IF(AI13="V",0,RIGHT(DEC2HEX((AX13)/180*2^31),8)), " ")</f>
        <v xml:space="preserve"> </v>
      </c>
    </row>
    <row r="14" spans="1:53">
      <c r="A14" s="79" t="str">
        <f>'CALIBRATION GUIDE'!B65</f>
        <v>CH24=0.000A CH25=0.000A CH26=0.000A CH27=0.000A</v>
      </c>
      <c r="D14" s="88">
        <f t="shared" si="23"/>
        <v>29</v>
      </c>
      <c r="E14" s="88">
        <v>4</v>
      </c>
      <c r="G14" s="88" t="str">
        <f t="shared" ca="1" si="11"/>
        <v>007</v>
      </c>
      <c r="H14" s="90" t="str">
        <f t="shared" ca="1" si="0"/>
        <v>PH_SRC_6_7</v>
      </c>
      <c r="I14" s="91" t="str">
        <f t="shared" ca="1" si="1"/>
        <v>0</v>
      </c>
      <c r="J14" s="92" t="s">
        <v>7</v>
      </c>
      <c r="K14" s="92">
        <f t="shared" ca="1" si="2"/>
        <v>0</v>
      </c>
      <c r="L14" s="80"/>
      <c r="N14" s="88">
        <f t="shared" si="24"/>
        <v>172</v>
      </c>
      <c r="O14" s="88">
        <v>4</v>
      </c>
      <c r="Q14" s="88" t="str">
        <f t="shared" ca="1" si="12"/>
        <v>007</v>
      </c>
      <c r="R14" s="90" t="str">
        <f t="shared" ca="1" si="3"/>
        <v>CAPTURE_STATUS</v>
      </c>
      <c r="S14" s="91" t="str">
        <f t="shared" ca="1" si="4"/>
        <v>0</v>
      </c>
      <c r="T14" s="92" t="s">
        <v>7</v>
      </c>
      <c r="U14" s="92">
        <f t="shared" ca="1" si="5"/>
        <v>0</v>
      </c>
      <c r="V14" s="80"/>
      <c r="X14" s="88">
        <f t="shared" si="25"/>
        <v>235</v>
      </c>
      <c r="Y14" s="88">
        <v>4</v>
      </c>
      <c r="AA14" s="88" t="str">
        <f t="shared" ca="1" si="13"/>
        <v>007</v>
      </c>
      <c r="AB14" s="90" t="str">
        <f t="shared" ca="1" si="6"/>
        <v>CH7</v>
      </c>
      <c r="AC14" s="91" t="str">
        <f t="shared" ca="1" si="7"/>
        <v>22FB8</v>
      </c>
      <c r="AD14" s="92" t="s">
        <v>20</v>
      </c>
      <c r="AE14" s="92">
        <f t="shared" ca="1" si="8"/>
        <v>1.3031967682763934E-7</v>
      </c>
      <c r="AF14" s="80">
        <f t="shared" ca="1" si="14"/>
        <v>9.4237135118865976E-3</v>
      </c>
      <c r="AH14" s="13">
        <f>'CALIBRATION GUIDE'!B20</f>
        <v>7</v>
      </c>
      <c r="AI14" s="13" t="str">
        <f>'CALIBRATION GUIDE'!C20</f>
        <v>I(CT)</v>
      </c>
      <c r="AJ14" s="13">
        <f>IF('CALIBRATION GUIDE'!C20="V"," ",    IF(ISNA(MATCH(AH14,CONFIGURATOR!$D$21:$D$51,0))=TRUE," ",MATCH(AH14,CONFIGURATOR!$D$21:$D$51,0)-1)       )</f>
        <v>4</v>
      </c>
      <c r="AK14" s="13" cm="1">
        <f t="array" aca="1" ref="AK14" ca="1">IF(AJ14=" "," ",INDIRECT(ADDRESS(103+AJ14,31)))</f>
        <v>0</v>
      </c>
      <c r="AL14" s="13" cm="1">
        <f t="array" aca="1" ref="AL14" ca="1">IF(AJ14=" "," ",INDIRECT(ADDRESS(135+AJ14,31)))</f>
        <v>0</v>
      </c>
      <c r="AM14" s="13">
        <f t="shared" ca="1" si="22"/>
        <v>0</v>
      </c>
      <c r="AN14" s="13">
        <f t="shared" ca="1" si="15"/>
        <v>9.4237135118865976E-3</v>
      </c>
      <c r="AO14" s="13">
        <f>'CALIBRATION GUIDE'!D20</f>
        <v>30</v>
      </c>
      <c r="AP14" s="13">
        <f t="shared" ca="1" si="16"/>
        <v>1</v>
      </c>
      <c r="AQ14" s="13">
        <f t="shared" ca="1" si="17"/>
        <v>3183.458406514535</v>
      </c>
      <c r="AR14" s="13">
        <f t="shared" ca="1" si="18"/>
        <v>1</v>
      </c>
      <c r="AS14" s="13">
        <f t="shared" si="20"/>
        <v>145</v>
      </c>
      <c r="AT14" s="13" t="str">
        <f>IF('CALIBRATION GUIDE'!E20="Y",RIGHT(DEC2HEX(INT(AR14*2^29+0.5),8),8)," ")</f>
        <v xml:space="preserve"> </v>
      </c>
      <c r="AU14" s="13">
        <f t="shared" ca="1" si="10"/>
        <v>0</v>
      </c>
      <c r="AV14" s="110">
        <f ca="1">IF(AM14=" ",0,AM14-'CALIBRATION GUIDE'!$C$8)</f>
        <v>-60</v>
      </c>
      <c r="AW14" s="13">
        <f ca="1">IF(AV14=0, 0, AV14*60/'CALIBRATION GUIDE'!$C$7)</f>
        <v>-72</v>
      </c>
      <c r="AX14" s="13">
        <f t="shared" ca="1" si="19"/>
        <v>-72</v>
      </c>
      <c r="AY14" s="13">
        <f t="shared" si="21"/>
        <v>177</v>
      </c>
      <c r="AZ14" t="str">
        <f>IF('CALIBRATION GUIDE'!E20="Y",IF(AI14="V",0,RIGHT(DEC2HEX((AX14)/180*2^31),8)), " ")</f>
        <v xml:space="preserve"> </v>
      </c>
    </row>
    <row r="15" spans="1:53">
      <c r="A15" s="79" t="str">
        <f>'CALIBRATION GUIDE'!B66</f>
        <v>CH28=0.000A CH29=0.000A CH30=0.000A CH31=0.000A</v>
      </c>
      <c r="D15" s="88">
        <f t="shared" si="23"/>
        <v>31</v>
      </c>
      <c r="E15" s="88">
        <v>1</v>
      </c>
      <c r="G15" s="88" t="str">
        <f t="shared" ca="1" si="11"/>
        <v>008</v>
      </c>
      <c r="H15" s="90" t="str">
        <f t="shared" ca="1" si="0"/>
        <v>PH_SRC_8_9</v>
      </c>
      <c r="I15" s="91" t="str">
        <f t="shared" ca="1" si="1"/>
        <v>0</v>
      </c>
      <c r="J15" s="92" t="s">
        <v>7</v>
      </c>
      <c r="K15" s="92">
        <f t="shared" ca="1" si="2"/>
        <v>0</v>
      </c>
      <c r="L15" s="80"/>
      <c r="N15" s="88">
        <f t="shared" si="24"/>
        <v>174</v>
      </c>
      <c r="O15" s="88">
        <v>1</v>
      </c>
      <c r="Q15" s="88" t="str">
        <f t="shared" ca="1" si="12"/>
        <v>008</v>
      </c>
      <c r="R15" s="90" t="str">
        <f t="shared" ca="1" si="3"/>
        <v>INTERVAL_NUM</v>
      </c>
      <c r="S15" s="91" t="str">
        <f t="shared" ca="1" si="4"/>
        <v>3D60015</v>
      </c>
      <c r="T15" s="92" t="s">
        <v>7</v>
      </c>
      <c r="U15" s="92">
        <f t="shared" ca="1" si="5"/>
        <v>64356373</v>
      </c>
      <c r="V15" s="80"/>
      <c r="X15" s="88">
        <f t="shared" si="25"/>
        <v>237</v>
      </c>
      <c r="Y15" s="88">
        <v>1</v>
      </c>
      <c r="AA15" s="88" t="str">
        <f t="shared" ca="1" si="13"/>
        <v>008</v>
      </c>
      <c r="AB15" s="90" t="str">
        <f t="shared" ca="1" si="6"/>
        <v>CH8</v>
      </c>
      <c r="AC15" s="91" t="str">
        <f t="shared" ca="1" si="7"/>
        <v>0</v>
      </c>
      <c r="AD15" s="92" t="s">
        <v>20</v>
      </c>
      <c r="AE15" s="92">
        <f t="shared" ca="1" si="8"/>
        <v>0</v>
      </c>
      <c r="AF15" s="80">
        <f t="shared" ca="1" si="14"/>
        <v>0</v>
      </c>
      <c r="AH15" s="13">
        <f>'CALIBRATION GUIDE'!B21</f>
        <v>8</v>
      </c>
      <c r="AI15" s="13" t="str">
        <f>'CALIBRATION GUIDE'!C21</f>
        <v>I(CT)</v>
      </c>
      <c r="AJ15" s="13">
        <f>IF('CALIBRATION GUIDE'!C21="V"," ",    IF(ISNA(MATCH(AH15,CONFIGURATOR!$D$21:$D$51,0))=TRUE," ",MATCH(AH15,CONFIGURATOR!$D$21:$D$51,0)-1)       )</f>
        <v>5</v>
      </c>
      <c r="AK15" s="13" cm="1">
        <f t="array" aca="1" ref="AK15" ca="1">IF(AJ15=" "," ",INDIRECT(ADDRESS(103+AJ15,31)))</f>
        <v>0</v>
      </c>
      <c r="AL15" s="13" cm="1">
        <f t="array" aca="1" ref="AL15" ca="1">IF(AJ15=" "," ",INDIRECT(ADDRESS(135+AJ15,31)))</f>
        <v>0</v>
      </c>
      <c r="AM15" s="13">
        <f t="shared" ca="1" si="22"/>
        <v>0</v>
      </c>
      <c r="AN15" s="13">
        <f t="shared" ca="1" si="15"/>
        <v>0</v>
      </c>
      <c r="AO15" s="13">
        <f>'CALIBRATION GUIDE'!D21</f>
        <v>30</v>
      </c>
      <c r="AP15" s="13">
        <f t="shared" ca="1" si="16"/>
        <v>1</v>
      </c>
      <c r="AQ15" s="13">
        <f t="shared" ca="1" si="17"/>
        <v>1</v>
      </c>
      <c r="AR15" s="13">
        <f t="shared" ca="1" si="18"/>
        <v>1</v>
      </c>
      <c r="AS15" s="13">
        <f t="shared" si="20"/>
        <v>146</v>
      </c>
      <c r="AT15" s="13" t="str">
        <f>IF('CALIBRATION GUIDE'!E21="Y",RIGHT(DEC2HEX(INT(AR15*2^29+0.5),8),8)," ")</f>
        <v xml:space="preserve"> </v>
      </c>
      <c r="AU15" s="13">
        <f t="shared" ca="1" si="10"/>
        <v>0</v>
      </c>
      <c r="AV15" s="110">
        <f ca="1">IF(AM15=" ",0,AM15-'CALIBRATION GUIDE'!$C$8)</f>
        <v>-60</v>
      </c>
      <c r="AW15" s="13">
        <f ca="1">IF(AV15=0, 0, AV15*60/'CALIBRATION GUIDE'!$C$7)</f>
        <v>-72</v>
      </c>
      <c r="AX15" s="13">
        <f t="shared" ca="1" si="19"/>
        <v>-72</v>
      </c>
      <c r="AY15" s="13">
        <f t="shared" si="21"/>
        <v>178</v>
      </c>
      <c r="AZ15" t="str">
        <f>IF('CALIBRATION GUIDE'!E21="Y",IF(AI15="V",0,RIGHT(DEC2HEX((AX15)/180*2^31),8)), " ")</f>
        <v xml:space="preserve"> </v>
      </c>
    </row>
    <row r="16" spans="1:53">
      <c r="A16" s="25" t="str">
        <f>'CALIBRATION GUIDE'!B67</f>
        <v>PAR[A]</v>
      </c>
      <c r="D16" s="88">
        <f t="shared" si="23"/>
        <v>31</v>
      </c>
      <c r="E16" s="88">
        <v>2</v>
      </c>
      <c r="G16" s="88" t="str">
        <f t="shared" ca="1" si="11"/>
        <v>009</v>
      </c>
      <c r="H16" s="90" t="str">
        <f t="shared" ca="1" si="0"/>
        <v>PH_SRC_10_11</v>
      </c>
      <c r="I16" s="91" t="str">
        <f t="shared" ca="1" si="1"/>
        <v>0</v>
      </c>
      <c r="J16" s="92" t="s">
        <v>7</v>
      </c>
      <c r="K16" s="92">
        <f t="shared" ref="K16:K21" ca="1" si="26">HEX2DEC(IF(AND(LEN(I16)=8,HEX2DEC(LEFT(I16,1))&gt;7),"FF","00")&amp;I16)/2^(0+MID(J16,FIND(".",J16)+1,2))</f>
        <v>0</v>
      </c>
      <c r="L16" s="80"/>
      <c r="N16" s="88">
        <f t="shared" si="24"/>
        <v>174</v>
      </c>
      <c r="O16" s="88">
        <v>2</v>
      </c>
      <c r="Q16" s="88" t="str">
        <f t="shared" ca="1" si="12"/>
        <v>009</v>
      </c>
      <c r="R16" s="90" t="str">
        <f t="shared" ca="1" si="3"/>
        <v>N</v>
      </c>
      <c r="S16" s="91" t="str">
        <f t="shared" ca="1" si="4"/>
        <v>FA0</v>
      </c>
      <c r="T16" s="92" t="s">
        <v>354</v>
      </c>
      <c r="U16" s="92">
        <f t="shared" ref="U16:U21" ca="1" si="27">HEX2DEC(IF(AND(LEN(S16)=8,HEX2DEC(LEFT(S16,1))&gt;7),"FF","00")&amp;S16)/2^(0+MID(T16,FIND(".",T16)+1,2))</f>
        <v>4000</v>
      </c>
      <c r="V16" s="80"/>
      <c r="X16" s="88">
        <f t="shared" si="25"/>
        <v>237</v>
      </c>
      <c r="Y16" s="88">
        <v>2</v>
      </c>
      <c r="AA16" s="88" t="str">
        <f t="shared" ca="1" si="13"/>
        <v>009</v>
      </c>
      <c r="AB16" s="90" t="str">
        <f t="shared" ca="1" si="6"/>
        <v>CH9</v>
      </c>
      <c r="AC16" s="91" t="str">
        <f t="shared" ca="1" si="7"/>
        <v>0</v>
      </c>
      <c r="AD16" s="92" t="s">
        <v>20</v>
      </c>
      <c r="AE16" s="92">
        <f ca="1">(HEX2DEC(LEFT(REPT("0",16-LEN(AC16))&amp;AC16,10))*16^6+HEX2DEC(RIGHT(AC16,6)))/2^(0+MID(AD16,FIND(".",AD16)+1,2))</f>
        <v>0</v>
      </c>
      <c r="AF16" s="80">
        <f t="shared" ca="1" si="14"/>
        <v>0</v>
      </c>
      <c r="AH16" s="13">
        <f>'CALIBRATION GUIDE'!B22</f>
        <v>9</v>
      </c>
      <c r="AI16" s="13" t="str">
        <f>'CALIBRATION GUIDE'!C22</f>
        <v>I(CT)</v>
      </c>
      <c r="AJ16" s="13">
        <f>IF('CALIBRATION GUIDE'!C22="V"," ",    IF(ISNA(MATCH(AH16,CONFIGURATOR!$D$21:$D$51,0))=TRUE," ",MATCH(AH16,CONFIGURATOR!$D$21:$D$51,0)-1)       )</f>
        <v>6</v>
      </c>
      <c r="AK16" s="13" cm="1">
        <f t="array" aca="1" ref="AK16" ca="1">IF(AJ16=" "," ",INDIRECT(ADDRESS(103+AJ16,31)))</f>
        <v>0</v>
      </c>
      <c r="AL16" s="13" cm="1">
        <f t="array" aca="1" ref="AL16" ca="1">IF(AJ16=" "," ",INDIRECT(ADDRESS(135+AJ16,31)))</f>
        <v>0</v>
      </c>
      <c r="AM16" s="13">
        <f t="shared" ca="1" si="22"/>
        <v>0</v>
      </c>
      <c r="AN16" s="13">
        <f t="shared" ca="1" si="15"/>
        <v>0</v>
      </c>
      <c r="AO16" s="13">
        <f>'CALIBRATION GUIDE'!D22</f>
        <v>30</v>
      </c>
      <c r="AP16" s="13">
        <f t="shared" ca="1" si="16"/>
        <v>1</v>
      </c>
      <c r="AQ16" s="13">
        <f t="shared" ca="1" si="17"/>
        <v>1</v>
      </c>
      <c r="AR16" s="13">
        <f t="shared" ca="1" si="18"/>
        <v>1</v>
      </c>
      <c r="AS16" s="13">
        <f t="shared" si="20"/>
        <v>147</v>
      </c>
      <c r="AT16" s="13" t="str">
        <f>IF('CALIBRATION GUIDE'!E22="Y",RIGHT(DEC2HEX(INT(AR16*2^29+0.5),8),8)," ")</f>
        <v xml:space="preserve"> </v>
      </c>
      <c r="AU16" s="13">
        <f t="shared" ca="1" si="10"/>
        <v>0</v>
      </c>
      <c r="AV16" s="110">
        <f ca="1">IF(AM16=" ",0,AM16-'CALIBRATION GUIDE'!$C$8)</f>
        <v>-60</v>
      </c>
      <c r="AW16" s="13">
        <f ca="1">IF(AV16=0, 0, AV16*60/'CALIBRATION GUIDE'!$C$7)</f>
        <v>-72</v>
      </c>
      <c r="AX16" s="13">
        <f t="shared" ca="1" si="19"/>
        <v>-72</v>
      </c>
      <c r="AY16" s="13">
        <f t="shared" si="21"/>
        <v>179</v>
      </c>
      <c r="AZ16" t="str">
        <f>IF('CALIBRATION GUIDE'!E22="Y",IF(AI16="V",0,RIGHT(DEC2HEX((AX16)/180*2^31),8)), " ")</f>
        <v xml:space="preserve"> </v>
      </c>
    </row>
    <row r="17" spans="1:52">
      <c r="A17" s="79" t="str">
        <f>'CALIBRATION GUIDE'!B68</f>
        <v>Voltage and current angle is :</v>
      </c>
      <c r="D17" s="88">
        <f t="shared" si="23"/>
        <v>31</v>
      </c>
      <c r="E17" s="88">
        <v>3</v>
      </c>
      <c r="G17" s="88" t="str">
        <f t="shared" ca="1" si="11"/>
        <v>010</v>
      </c>
      <c r="H17" s="90" t="str">
        <f t="shared" ca="1" si="0"/>
        <v>PH_SRC_12_13</v>
      </c>
      <c r="I17" s="91" t="str">
        <f t="shared" ca="1" si="1"/>
        <v>0</v>
      </c>
      <c r="J17" s="92" t="s">
        <v>7</v>
      </c>
      <c r="K17" s="92">
        <f t="shared" ca="1" si="26"/>
        <v>0</v>
      </c>
      <c r="L17" s="80"/>
      <c r="N17" s="88">
        <f t="shared" si="24"/>
        <v>174</v>
      </c>
      <c r="O17" s="88">
        <v>3</v>
      </c>
      <c r="Q17" s="88" t="str">
        <f t="shared" ca="1" si="12"/>
        <v>010</v>
      </c>
      <c r="R17" s="90" t="str">
        <f t="shared" ca="1" si="3"/>
        <v>PH_OFFSET</v>
      </c>
      <c r="S17" s="91" t="str">
        <f t="shared" ca="1" si="4"/>
        <v>FF0A3D71</v>
      </c>
      <c r="T17" s="92" t="s">
        <v>17</v>
      </c>
      <c r="U17" s="92">
        <f t="shared" ca="1" si="27"/>
        <v>-7.4999998323619366E-3</v>
      </c>
      <c r="V17" s="80"/>
      <c r="X17" s="88">
        <f t="shared" si="25"/>
        <v>237</v>
      </c>
      <c r="Y17" s="88">
        <v>3</v>
      </c>
      <c r="AA17" s="88" t="str">
        <f t="shared" ca="1" si="13"/>
        <v>010</v>
      </c>
      <c r="AB17" s="90" t="str">
        <f t="shared" ca="1" si="6"/>
        <v>CH10</v>
      </c>
      <c r="AC17" s="91" t="str">
        <f t="shared" ca="1" si="7"/>
        <v>0</v>
      </c>
      <c r="AD17" s="92" t="s">
        <v>20</v>
      </c>
      <c r="AE17" s="92">
        <f t="shared" ref="AE17:AE80" ca="1" si="28">(HEX2DEC(LEFT(REPT("0",16-LEN(AC17))&amp;AC17,10))*16^6+HEX2DEC(RIGHT(AC17,6)))/2^(0+MID(AD17,FIND(".",AD17)+1,2))</f>
        <v>0</v>
      </c>
      <c r="AF17" s="80">
        <f t="shared" ca="1" si="14"/>
        <v>0</v>
      </c>
      <c r="AH17" s="13">
        <f>'CALIBRATION GUIDE'!B23</f>
        <v>10</v>
      </c>
      <c r="AI17" s="13" t="str">
        <f>'CALIBRATION GUIDE'!C23</f>
        <v>I(CT)</v>
      </c>
      <c r="AJ17" s="13">
        <f>IF('CALIBRATION GUIDE'!C23="V"," ",    IF(ISNA(MATCH(AH17,CONFIGURATOR!$D$21:$D$51,0))=TRUE," ",MATCH(AH17,CONFIGURATOR!$D$21:$D$51,0)-1)       )</f>
        <v>7</v>
      </c>
      <c r="AK17" s="13" cm="1">
        <f t="array" aca="1" ref="AK17" ca="1">IF(AJ17=" "," ",INDIRECT(ADDRESS(103+AJ17,31)))</f>
        <v>0</v>
      </c>
      <c r="AL17" s="13" cm="1">
        <f t="array" aca="1" ref="AL17" ca="1">IF(AJ17=" "," ",INDIRECT(ADDRESS(135+AJ17,31)))</f>
        <v>0</v>
      </c>
      <c r="AM17" s="13">
        <f t="shared" ca="1" si="22"/>
        <v>0</v>
      </c>
      <c r="AN17" s="13">
        <f t="shared" ca="1" si="15"/>
        <v>0</v>
      </c>
      <c r="AO17" s="13">
        <f>'CALIBRATION GUIDE'!D23</f>
        <v>30</v>
      </c>
      <c r="AP17" s="13">
        <f t="shared" ca="1" si="16"/>
        <v>1</v>
      </c>
      <c r="AQ17" s="13">
        <f t="shared" ca="1" si="17"/>
        <v>1</v>
      </c>
      <c r="AR17" s="13">
        <f t="shared" ca="1" si="18"/>
        <v>1</v>
      </c>
      <c r="AS17" s="13">
        <f t="shared" si="20"/>
        <v>148</v>
      </c>
      <c r="AT17" s="13" t="str">
        <f>IF('CALIBRATION GUIDE'!E23="Y",RIGHT(DEC2HEX(INT(AR17*2^29+0.5),8),8)," ")</f>
        <v xml:space="preserve"> </v>
      </c>
      <c r="AU17" s="13">
        <f t="shared" ca="1" si="10"/>
        <v>0</v>
      </c>
      <c r="AV17" s="110">
        <f ca="1">IF(AM17=" ",0,AM17-'CALIBRATION GUIDE'!$C$8)</f>
        <v>-60</v>
      </c>
      <c r="AW17" s="13">
        <f ca="1">IF(AV17=0, 0, AV17*60/'CALIBRATION GUIDE'!$C$7)</f>
        <v>-72</v>
      </c>
      <c r="AX17" s="13">
        <f t="shared" ca="1" si="19"/>
        <v>-72</v>
      </c>
      <c r="AY17" s="13">
        <f t="shared" si="21"/>
        <v>180</v>
      </c>
      <c r="AZ17" t="str">
        <f>IF('CALIBRATION GUIDE'!E23="Y",IF(AI17="V",0,RIGHT(DEC2HEX((AX17)/180*2^31),8)), " ")</f>
        <v xml:space="preserve"> </v>
      </c>
    </row>
    <row r="18" spans="1:52">
      <c r="A18" s="79" t="str">
        <f>'CALIBRATION GUIDE'!B69</f>
        <v>Angle_PW00= 59.936 Angle_PW01= 59.934 Angle_PW02= 59.929 Angle_PW03= 0.000</v>
      </c>
      <c r="D18" s="88">
        <f t="shared" si="23"/>
        <v>31</v>
      </c>
      <c r="E18" s="88">
        <v>4</v>
      </c>
      <c r="G18" s="88" t="str">
        <f t="shared" ca="1" si="11"/>
        <v>011</v>
      </c>
      <c r="H18" s="90" t="str">
        <f t="shared" ca="1" si="0"/>
        <v>PH_SRC_14_15</v>
      </c>
      <c r="I18" s="91" t="str">
        <f t="shared" ca="1" si="1"/>
        <v>0</v>
      </c>
      <c r="J18" s="92" t="s">
        <v>7</v>
      </c>
      <c r="K18" s="92">
        <f t="shared" ca="1" si="26"/>
        <v>0</v>
      </c>
      <c r="L18" s="80"/>
      <c r="N18" s="88">
        <f t="shared" si="24"/>
        <v>174</v>
      </c>
      <c r="O18" s="88">
        <v>4</v>
      </c>
      <c r="Q18" s="88" t="str">
        <f t="shared" ca="1" si="12"/>
        <v>011</v>
      </c>
      <c r="R18" s="90" t="str">
        <f t="shared" ca="1" si="3"/>
        <v>FREQ</v>
      </c>
      <c r="S18" s="91" t="str">
        <f t="shared" ca="1" si="4"/>
        <v>31FFE</v>
      </c>
      <c r="T18" s="92" t="s">
        <v>19</v>
      </c>
      <c r="U18" s="92">
        <f t="shared" ca="1" si="27"/>
        <v>49.99951171875</v>
      </c>
      <c r="V18" s="80"/>
      <c r="X18" s="88">
        <f t="shared" si="25"/>
        <v>237</v>
      </c>
      <c r="Y18" s="88">
        <v>4</v>
      </c>
      <c r="AA18" s="88" t="str">
        <f t="shared" ca="1" si="13"/>
        <v>011</v>
      </c>
      <c r="AB18" s="90" t="str">
        <f t="shared" ca="1" si="6"/>
        <v>CH11</v>
      </c>
      <c r="AC18" s="91" t="str">
        <f t="shared" ca="1" si="7"/>
        <v>0</v>
      </c>
      <c r="AD18" s="92" t="s">
        <v>20</v>
      </c>
      <c r="AE18" s="92">
        <f t="shared" ca="1" si="28"/>
        <v>0</v>
      </c>
      <c r="AF18" s="80">
        <f t="shared" ca="1" si="14"/>
        <v>0</v>
      </c>
      <c r="AH18" s="13">
        <f>'CALIBRATION GUIDE'!B24</f>
        <v>11</v>
      </c>
      <c r="AI18" s="13" t="str">
        <f>'CALIBRATION GUIDE'!C24</f>
        <v>I(CT)</v>
      </c>
      <c r="AJ18" s="13">
        <f>IF('CALIBRATION GUIDE'!C24="V"," ",    IF(ISNA(MATCH(AH18,CONFIGURATOR!$D$21:$D$51,0))=TRUE," ",MATCH(AH18,CONFIGURATOR!$D$21:$D$51,0)-1)       )</f>
        <v>8</v>
      </c>
      <c r="AK18" s="13" cm="1">
        <f t="array" aca="1" ref="AK18" ca="1">IF(AJ18=" "," ",INDIRECT(ADDRESS(103+AJ18,31)))</f>
        <v>0</v>
      </c>
      <c r="AL18" s="13" cm="1">
        <f t="array" aca="1" ref="AL18" ca="1">IF(AJ18=" "," ",INDIRECT(ADDRESS(135+AJ18,31)))</f>
        <v>0</v>
      </c>
      <c r="AM18" s="13">
        <f t="shared" ca="1" si="22"/>
        <v>0</v>
      </c>
      <c r="AN18" s="13">
        <f t="shared" ca="1" si="15"/>
        <v>0</v>
      </c>
      <c r="AO18" s="13">
        <f>'CALIBRATION GUIDE'!D24</f>
        <v>30</v>
      </c>
      <c r="AP18" s="13">
        <f t="shared" ca="1" si="16"/>
        <v>1</v>
      </c>
      <c r="AQ18" s="13">
        <f t="shared" ca="1" si="17"/>
        <v>1</v>
      </c>
      <c r="AR18" s="13">
        <f t="shared" ca="1" si="18"/>
        <v>1</v>
      </c>
      <c r="AS18" s="13">
        <f t="shared" si="20"/>
        <v>149</v>
      </c>
      <c r="AT18" s="13" t="str">
        <f>IF('CALIBRATION GUIDE'!E24="Y",RIGHT(DEC2HEX(INT(AR18*2^29+0.5),8),8)," ")</f>
        <v xml:space="preserve"> </v>
      </c>
      <c r="AU18" s="13">
        <f t="shared" ca="1" si="10"/>
        <v>0</v>
      </c>
      <c r="AV18" s="110">
        <f ca="1">IF(AM18=" ",0,AM18-'CALIBRATION GUIDE'!$C$8)</f>
        <v>-60</v>
      </c>
      <c r="AW18" s="13">
        <f ca="1">IF(AV18=0, 0, AV18*60/'CALIBRATION GUIDE'!$C$7)</f>
        <v>-72</v>
      </c>
      <c r="AX18" s="13">
        <f t="shared" ca="1" si="19"/>
        <v>-72</v>
      </c>
      <c r="AY18" s="13">
        <f t="shared" si="21"/>
        <v>181</v>
      </c>
      <c r="AZ18" t="str">
        <f>IF('CALIBRATION GUIDE'!E24="Y",IF(AI18="V",0,RIGHT(DEC2HEX((AX18)/180*2^31),8)), " ")</f>
        <v xml:space="preserve"> </v>
      </c>
    </row>
    <row r="19" spans="1:52" ht="14.25" customHeight="1">
      <c r="A19" s="79" t="str">
        <f>'CALIBRATION GUIDE'!B70</f>
        <v>Angle_PW04= 0.000 Angle_PW05= 0.000 Angle_PW06= 0.000 Angle_PW07= 0.000</v>
      </c>
      <c r="D19" s="88">
        <f t="shared" si="23"/>
        <v>33</v>
      </c>
      <c r="E19" s="88">
        <v>1</v>
      </c>
      <c r="G19" s="88" t="str">
        <f t="shared" ca="1" si="11"/>
        <v>012</v>
      </c>
      <c r="H19" s="90" t="str">
        <f t="shared" ca="1" si="0"/>
        <v>PH_SRC_16_17</v>
      </c>
      <c r="I19" s="91" t="str">
        <f t="shared" ca="1" si="1"/>
        <v>0</v>
      </c>
      <c r="J19" s="92" t="s">
        <v>7</v>
      </c>
      <c r="K19" s="92">
        <f t="shared" ca="1" si="26"/>
        <v>0</v>
      </c>
      <c r="L19" s="80"/>
      <c r="N19" s="88">
        <f t="shared" si="24"/>
        <v>176</v>
      </c>
      <c r="O19" s="88">
        <v>1</v>
      </c>
      <c r="Q19" s="88" t="str">
        <f t="shared" ca="1" si="12"/>
        <v>012</v>
      </c>
      <c r="R19" s="90" t="str">
        <f t="shared" ca="1" si="3"/>
        <v>FREQ_CH0</v>
      </c>
      <c r="S19" s="91" t="str">
        <f t="shared" ca="1" si="4"/>
        <v>31FFE</v>
      </c>
      <c r="T19" s="92" t="s">
        <v>19</v>
      </c>
      <c r="U19" s="92">
        <f t="shared" ca="1" si="27"/>
        <v>49.99951171875</v>
      </c>
      <c r="V19" s="80"/>
      <c r="X19" s="88">
        <f t="shared" si="25"/>
        <v>239</v>
      </c>
      <c r="Y19" s="88">
        <v>1</v>
      </c>
      <c r="AA19" s="88" t="str">
        <f t="shared" ca="1" si="13"/>
        <v>012</v>
      </c>
      <c r="AB19" s="90" t="str">
        <f t="shared" ca="1" si="6"/>
        <v>CH12</v>
      </c>
      <c r="AC19" s="91" t="str">
        <f t="shared" ca="1" si="7"/>
        <v>0</v>
      </c>
      <c r="AD19" s="92" t="s">
        <v>20</v>
      </c>
      <c r="AE19" s="92">
        <f t="shared" ca="1" si="28"/>
        <v>0</v>
      </c>
      <c r="AF19" s="80">
        <f t="shared" ca="1" si="14"/>
        <v>0</v>
      </c>
      <c r="AH19" s="13">
        <f>'CALIBRATION GUIDE'!B25</f>
        <v>12</v>
      </c>
      <c r="AI19" s="13" t="str">
        <f>'CALIBRATION GUIDE'!C25</f>
        <v>I(CT)</v>
      </c>
      <c r="AJ19" s="13" t="str">
        <f>IF('CALIBRATION GUIDE'!C25="V"," ",    IF(ISNA(MATCH(AH19,CONFIGURATOR!$D$21:$D$51,0))=TRUE," ",MATCH(AH19,CONFIGURATOR!$D$21:$D$51,0)-1)       )</f>
        <v xml:space="preserve"> </v>
      </c>
      <c r="AK19" s="13" t="str" cm="1">
        <f t="array" aca="1" ref="AK19" ca="1">IF(AJ19=" "," ",INDIRECT(ADDRESS(103+AJ19,31)))</f>
        <v xml:space="preserve"> </v>
      </c>
      <c r="AL19" s="13" t="str" cm="1">
        <f t="array" aca="1" ref="AL19" ca="1">IF(AJ19=" "," ",INDIRECT(ADDRESS(135+AJ19,31)))</f>
        <v xml:space="preserve"> </v>
      </c>
      <c r="AM19" s="13" t="str">
        <f t="shared" si="22"/>
        <v xml:space="preserve"> </v>
      </c>
      <c r="AN19" s="13">
        <f t="shared" ca="1" si="15"/>
        <v>0</v>
      </c>
      <c r="AO19" s="13">
        <f>'CALIBRATION GUIDE'!D25</f>
        <v>30</v>
      </c>
      <c r="AP19" s="13">
        <f t="shared" ca="1" si="16"/>
        <v>1</v>
      </c>
      <c r="AQ19" s="13">
        <f t="shared" ca="1" si="17"/>
        <v>1</v>
      </c>
      <c r="AR19" s="13">
        <f t="shared" ca="1" si="18"/>
        <v>1</v>
      </c>
      <c r="AS19" s="13">
        <f t="shared" si="20"/>
        <v>150</v>
      </c>
      <c r="AT19" s="13" t="str">
        <f>IF('CALIBRATION GUIDE'!E25="Y",RIGHT(DEC2HEX(INT(AR19*2^29+0.5),8),8)," ")</f>
        <v xml:space="preserve"> </v>
      </c>
      <c r="AU19" s="13">
        <f t="shared" ca="1" si="10"/>
        <v>0</v>
      </c>
      <c r="AV19" s="110">
        <f>IF(AM19=" ",0,AM19-'CALIBRATION GUIDE'!$C$8)</f>
        <v>0</v>
      </c>
      <c r="AW19" s="13">
        <f>IF(AV19=0, 0, AV19*60/'CALIBRATION GUIDE'!$C$7)</f>
        <v>0</v>
      </c>
      <c r="AX19" s="13">
        <f t="shared" ca="1" si="19"/>
        <v>0</v>
      </c>
      <c r="AY19" s="13">
        <f t="shared" si="21"/>
        <v>182</v>
      </c>
      <c r="AZ19" t="str">
        <f>IF('CALIBRATION GUIDE'!E25="Y",IF(AI19="V",0,RIGHT(DEC2HEX((AX19)/180*2^31),8)), " ")</f>
        <v xml:space="preserve"> </v>
      </c>
    </row>
    <row r="20" spans="1:52" ht="14.45" customHeight="1">
      <c r="A20" s="79" t="str">
        <f>'CALIBRATION GUIDE'!B71</f>
        <v>Angle_PW08= 0.000 Angle_PW09= 0.000 Angle_PW10= 0.000 Angle_PW11= 0.000</v>
      </c>
      <c r="D20" s="88">
        <f t="shared" si="23"/>
        <v>33</v>
      </c>
      <c r="E20" s="88">
        <v>2</v>
      </c>
      <c r="G20" s="88" t="str">
        <f t="shared" ca="1" si="11"/>
        <v>013</v>
      </c>
      <c r="H20" s="90" t="str">
        <f t="shared" ca="1" si="0"/>
        <v>PH_SRC_18_19</v>
      </c>
      <c r="I20" s="91" t="str">
        <f t="shared" ca="1" si="1"/>
        <v>0</v>
      </c>
      <c r="J20" s="92" t="s">
        <v>7</v>
      </c>
      <c r="K20" s="92">
        <f t="shared" ca="1" si="26"/>
        <v>0</v>
      </c>
      <c r="L20" s="80"/>
      <c r="N20" s="88">
        <f t="shared" si="24"/>
        <v>176</v>
      </c>
      <c r="O20" s="88">
        <v>2</v>
      </c>
      <c r="Q20" s="88" t="str">
        <f t="shared" ca="1" si="12"/>
        <v>013</v>
      </c>
      <c r="R20" s="90" t="str">
        <f t="shared" ca="1" si="3"/>
        <v>FREQ_CH1</v>
      </c>
      <c r="S20" s="91" t="str">
        <f t="shared" ca="1" si="4"/>
        <v>31FFE</v>
      </c>
      <c r="T20" s="92" t="s">
        <v>19</v>
      </c>
      <c r="U20" s="92">
        <f t="shared" ca="1" si="27"/>
        <v>49.99951171875</v>
      </c>
      <c r="V20" s="80"/>
      <c r="X20" s="88">
        <f t="shared" si="25"/>
        <v>239</v>
      </c>
      <c r="Y20" s="88">
        <v>2</v>
      </c>
      <c r="AA20" s="88" t="str">
        <f t="shared" ca="1" si="13"/>
        <v>013</v>
      </c>
      <c r="AB20" s="90" t="str">
        <f t="shared" ca="1" si="6"/>
        <v>CH13</v>
      </c>
      <c r="AC20" s="91" t="str">
        <f t="shared" ca="1" si="7"/>
        <v>0</v>
      </c>
      <c r="AD20" s="92" t="s">
        <v>20</v>
      </c>
      <c r="AE20" s="92">
        <f t="shared" ca="1" si="28"/>
        <v>0</v>
      </c>
      <c r="AF20" s="80">
        <f t="shared" ca="1" si="14"/>
        <v>0</v>
      </c>
      <c r="AH20" s="13">
        <f>'CALIBRATION GUIDE'!B26</f>
        <v>13</v>
      </c>
      <c r="AI20" s="13" t="str">
        <f>'CALIBRATION GUIDE'!C26</f>
        <v>I(CT)</v>
      </c>
      <c r="AJ20" s="13" t="str">
        <f>IF('CALIBRATION GUIDE'!C26="V"," ",    IF(ISNA(MATCH(AH20,CONFIGURATOR!$D$21:$D$51,0))=TRUE," ",MATCH(AH20,CONFIGURATOR!$D$21:$D$51,0)-1)       )</f>
        <v xml:space="preserve"> </v>
      </c>
      <c r="AK20" s="13" t="str" cm="1">
        <f t="array" aca="1" ref="AK20" ca="1">IF(AJ20=" "," ",INDIRECT(ADDRESS(103+AJ20,31)))</f>
        <v xml:space="preserve"> </v>
      </c>
      <c r="AL20" s="13" t="str" cm="1">
        <f t="array" aca="1" ref="AL20" ca="1">IF(AJ20=" "," ",INDIRECT(ADDRESS(135+AJ20,31)))</f>
        <v xml:space="preserve"> </v>
      </c>
      <c r="AM20" s="13" t="str">
        <f t="shared" si="22"/>
        <v xml:space="preserve"> </v>
      </c>
      <c r="AN20" s="13">
        <f t="shared" ca="1" si="15"/>
        <v>0</v>
      </c>
      <c r="AO20" s="13">
        <f>'CALIBRATION GUIDE'!D26</f>
        <v>30</v>
      </c>
      <c r="AP20" s="13">
        <f t="shared" ca="1" si="16"/>
        <v>1</v>
      </c>
      <c r="AQ20" s="13">
        <f t="shared" ca="1" si="17"/>
        <v>1</v>
      </c>
      <c r="AR20" s="13">
        <f t="shared" ca="1" si="18"/>
        <v>1</v>
      </c>
      <c r="AS20" s="13">
        <f t="shared" si="20"/>
        <v>151</v>
      </c>
      <c r="AT20" s="13" t="str">
        <f>IF('CALIBRATION GUIDE'!E26="Y",RIGHT(DEC2HEX(INT(AR20*2^29+0.5),8),8)," ")</f>
        <v xml:space="preserve"> </v>
      </c>
      <c r="AU20" s="13">
        <f t="shared" ca="1" si="10"/>
        <v>0</v>
      </c>
      <c r="AV20" s="110">
        <f>IF(AM20=" ",0,AM20-'CALIBRATION GUIDE'!$C$8)</f>
        <v>0</v>
      </c>
      <c r="AW20" s="13">
        <f>IF(AV20=0, 0, AV20*60/'CALIBRATION GUIDE'!$C$7)</f>
        <v>0</v>
      </c>
      <c r="AX20" s="13">
        <f t="shared" ca="1" si="19"/>
        <v>0</v>
      </c>
      <c r="AY20" s="13">
        <f t="shared" si="21"/>
        <v>183</v>
      </c>
      <c r="AZ20" t="str">
        <f>IF('CALIBRATION GUIDE'!E26="Y",IF(AI20="V",0,RIGHT(DEC2HEX((AX20)/180*2^31),8)), " ")</f>
        <v xml:space="preserve"> </v>
      </c>
    </row>
    <row r="21" spans="1:52" ht="14.45" customHeight="1">
      <c r="A21" s="79" t="str">
        <f>'CALIBRATION GUIDE'!B72</f>
        <v>Angle_PW12= 0.000 Angle_PW13= 0.000 Angle_PW14= 0.000 Angle_PW15= 0.000</v>
      </c>
      <c r="D21" s="88">
        <f t="shared" si="23"/>
        <v>33</v>
      </c>
      <c r="E21" s="88">
        <v>3</v>
      </c>
      <c r="G21" s="88" t="str">
        <f t="shared" ca="1" si="11"/>
        <v>014</v>
      </c>
      <c r="H21" s="90" t="str">
        <f t="shared" ca="1" si="0"/>
        <v>PH_SRC_20_21</v>
      </c>
      <c r="I21" s="91" t="str">
        <f t="shared" ca="1" si="1"/>
        <v>0</v>
      </c>
      <c r="J21" s="92" t="s">
        <v>7</v>
      </c>
      <c r="K21" s="92">
        <f t="shared" ca="1" si="26"/>
        <v>0</v>
      </c>
      <c r="L21" s="80"/>
      <c r="N21" s="88">
        <f t="shared" si="24"/>
        <v>176</v>
      </c>
      <c r="O21" s="88">
        <v>3</v>
      </c>
      <c r="Q21" s="88" t="str">
        <f t="shared" ca="1" si="12"/>
        <v>014</v>
      </c>
      <c r="R21" s="90" t="str">
        <f t="shared" ca="1" si="3"/>
        <v>FREQ_CH2</v>
      </c>
      <c r="S21" s="91" t="str">
        <f t="shared" ca="1" si="4"/>
        <v>31FFE</v>
      </c>
      <c r="T21" s="92" t="s">
        <v>19</v>
      </c>
      <c r="U21" s="92">
        <f t="shared" ca="1" si="27"/>
        <v>49.99951171875</v>
      </c>
      <c r="V21" s="80"/>
      <c r="X21" s="88">
        <f t="shared" si="25"/>
        <v>239</v>
      </c>
      <c r="Y21" s="88">
        <v>3</v>
      </c>
      <c r="AA21" s="88" t="str">
        <f t="shared" ca="1" si="13"/>
        <v>014</v>
      </c>
      <c r="AB21" s="90" t="str">
        <f t="shared" ca="1" si="6"/>
        <v>CH14</v>
      </c>
      <c r="AC21" s="91" t="str">
        <f t="shared" ca="1" si="7"/>
        <v>0</v>
      </c>
      <c r="AD21" s="92" t="s">
        <v>20</v>
      </c>
      <c r="AE21" s="92">
        <f t="shared" ca="1" si="28"/>
        <v>0</v>
      </c>
      <c r="AF21" s="80">
        <f t="shared" ca="1" si="14"/>
        <v>0</v>
      </c>
      <c r="AH21" s="13">
        <f>'CALIBRATION GUIDE'!B27</f>
        <v>14</v>
      </c>
      <c r="AI21" s="13" t="str">
        <f>'CALIBRATION GUIDE'!C27</f>
        <v>I(CT)</v>
      </c>
      <c r="AJ21" s="13" t="str">
        <f>IF('CALIBRATION GUIDE'!C27="V"," ",    IF(ISNA(MATCH(AH21,CONFIGURATOR!$D$21:$D$51,0))=TRUE," ",MATCH(AH21,CONFIGURATOR!$D$21:$D$51,0)-1)       )</f>
        <v xml:space="preserve"> </v>
      </c>
      <c r="AK21" s="13" t="str" cm="1">
        <f t="array" aca="1" ref="AK21" ca="1">IF(AJ21=" "," ",INDIRECT(ADDRESS(103+AJ21,31)))</f>
        <v xml:space="preserve"> </v>
      </c>
      <c r="AL21" s="13" t="str" cm="1">
        <f t="array" aca="1" ref="AL21" ca="1">IF(AJ21=" "," ",INDIRECT(ADDRESS(135+AJ21,31)))</f>
        <v xml:space="preserve"> </v>
      </c>
      <c r="AM21" s="13" t="str">
        <f t="shared" si="22"/>
        <v xml:space="preserve"> </v>
      </c>
      <c r="AN21" s="13">
        <f t="shared" ca="1" si="15"/>
        <v>0</v>
      </c>
      <c r="AO21" s="13">
        <f>'CALIBRATION GUIDE'!D27</f>
        <v>30</v>
      </c>
      <c r="AP21" s="13">
        <f t="shared" ca="1" si="16"/>
        <v>1</v>
      </c>
      <c r="AQ21" s="13">
        <f t="shared" ca="1" si="17"/>
        <v>1</v>
      </c>
      <c r="AR21" s="13">
        <f t="shared" ca="1" si="18"/>
        <v>1</v>
      </c>
      <c r="AS21" s="13">
        <f t="shared" si="20"/>
        <v>152</v>
      </c>
      <c r="AT21" s="13" t="str">
        <f>IF('CALIBRATION GUIDE'!E27="Y",RIGHT(DEC2HEX(INT(AR21*2^29+0.5),8),8)," ")</f>
        <v xml:space="preserve"> </v>
      </c>
      <c r="AU21" s="13">
        <f t="shared" ca="1" si="10"/>
        <v>0</v>
      </c>
      <c r="AV21" s="110">
        <f>IF(AM21=" ",0,AM21-'CALIBRATION GUIDE'!$C$8)</f>
        <v>0</v>
      </c>
      <c r="AW21" s="13">
        <f>IF(AV21=0, 0, AV21*60/'CALIBRATION GUIDE'!$C$7)</f>
        <v>0</v>
      </c>
      <c r="AX21" s="13">
        <f t="shared" ca="1" si="19"/>
        <v>0</v>
      </c>
      <c r="AY21" s="13">
        <f t="shared" si="21"/>
        <v>184</v>
      </c>
      <c r="AZ21" t="str">
        <f>IF('CALIBRATION GUIDE'!E27="Y",IF(AI21="V",0,RIGHT(DEC2HEX((AX21)/180*2^31),8)), " ")</f>
        <v xml:space="preserve"> </v>
      </c>
    </row>
    <row r="22" spans="1:52" ht="14.45" customHeight="1">
      <c r="A22" s="79" t="str">
        <f>'CALIBRATION GUIDE'!B73</f>
        <v>Angle_PW16= 0.000 Angle_PW17= 0.000 Angle_PW18= 0.000 Angle_PW19= 0.000</v>
      </c>
      <c r="D22" s="88">
        <f t="shared" si="23"/>
        <v>33</v>
      </c>
      <c r="E22" s="88">
        <v>4</v>
      </c>
      <c r="G22" s="88" t="str">
        <f t="shared" ca="1" si="11"/>
        <v>015</v>
      </c>
      <c r="H22" s="90" t="str">
        <f t="shared" ca="1" si="0"/>
        <v>PH_SRC_22_23</v>
      </c>
      <c r="I22" s="91" t="str">
        <f t="shared" ca="1" si="1"/>
        <v>0</v>
      </c>
      <c r="J22" s="92" t="s">
        <v>7</v>
      </c>
      <c r="K22" s="92">
        <f ca="1">(HEX2DEC(LEFT(REPT("0",16-LEN(I22))&amp;I22,10))*16^6+HEX2DEC(RIGHT(I22,6)))/2^(0+MID(J22,FIND(".",J22)+1,2))</f>
        <v>0</v>
      </c>
      <c r="L22" s="80"/>
      <c r="N22" s="88">
        <f t="shared" si="24"/>
        <v>176</v>
      </c>
      <c r="O22" s="88">
        <v>4</v>
      </c>
      <c r="Q22" s="88" t="str">
        <f t="shared" ca="1" si="12"/>
        <v>015</v>
      </c>
      <c r="R22" s="90" t="str">
        <f t="shared" ca="1" si="3"/>
        <v>FREQ_CH3</v>
      </c>
      <c r="S22" s="91" t="str">
        <f t="shared" ca="1" si="4"/>
        <v>0</v>
      </c>
      <c r="T22" s="92" t="s">
        <v>19</v>
      </c>
      <c r="U22" s="92">
        <f ca="1">(HEX2DEC(LEFT(REPT("0",16-LEN(S22))&amp;S22,10))*16^6+HEX2DEC(RIGHT(S22,6)))/2^(0+MID(T22,FIND(".",T22)+1,2))</f>
        <v>0</v>
      </c>
      <c r="V22" s="80"/>
      <c r="X22" s="88">
        <f t="shared" si="25"/>
        <v>239</v>
      </c>
      <c r="Y22" s="88">
        <v>4</v>
      </c>
      <c r="AA22" s="88" t="str">
        <f t="shared" ca="1" si="13"/>
        <v>015</v>
      </c>
      <c r="AB22" s="90" t="str">
        <f t="shared" ca="1" si="6"/>
        <v>CH15</v>
      </c>
      <c r="AC22" s="91" t="str">
        <f t="shared" ca="1" si="7"/>
        <v>0</v>
      </c>
      <c r="AD22" s="92" t="s">
        <v>20</v>
      </c>
      <c r="AE22" s="92">
        <f t="shared" ca="1" si="28"/>
        <v>0</v>
      </c>
      <c r="AF22" s="80">
        <f t="shared" ca="1" si="14"/>
        <v>0</v>
      </c>
      <c r="AH22" s="13">
        <f>'CALIBRATION GUIDE'!B28</f>
        <v>15</v>
      </c>
      <c r="AI22" s="13" t="str">
        <f>'CALIBRATION GUIDE'!C28</f>
        <v>I(CT)</v>
      </c>
      <c r="AJ22" s="13" t="str">
        <f>IF('CALIBRATION GUIDE'!C28="V"," ",    IF(ISNA(MATCH(AH22,CONFIGURATOR!$D$21:$D$51,0))=TRUE," ",MATCH(AH22,CONFIGURATOR!$D$21:$D$51,0)-1)       )</f>
        <v xml:space="preserve"> </v>
      </c>
      <c r="AK22" s="13" t="str" cm="1">
        <f t="array" aca="1" ref="AK22" ca="1">IF(AJ22=" "," ",INDIRECT(ADDRESS(103+AJ22,31)))</f>
        <v xml:space="preserve"> </v>
      </c>
      <c r="AL22" s="13" t="str" cm="1">
        <f t="array" aca="1" ref="AL22" ca="1">IF(AJ22=" "," ",INDIRECT(ADDRESS(135+AJ22,31)))</f>
        <v xml:space="preserve"> </v>
      </c>
      <c r="AM22" s="13" t="str">
        <f t="shared" si="22"/>
        <v xml:space="preserve"> </v>
      </c>
      <c r="AN22" s="13">
        <f t="shared" ca="1" si="15"/>
        <v>0</v>
      </c>
      <c r="AO22" s="13">
        <f>'CALIBRATION GUIDE'!D28</f>
        <v>30</v>
      </c>
      <c r="AP22" s="13">
        <f t="shared" ca="1" si="16"/>
        <v>1</v>
      </c>
      <c r="AQ22" s="13">
        <f t="shared" ca="1" si="17"/>
        <v>1</v>
      </c>
      <c r="AR22" s="13">
        <f t="shared" ca="1" si="18"/>
        <v>1</v>
      </c>
      <c r="AS22" s="13">
        <f t="shared" si="20"/>
        <v>153</v>
      </c>
      <c r="AT22" s="13" t="str">
        <f>IF('CALIBRATION GUIDE'!E28="Y",RIGHT(DEC2HEX(INT(AR22*2^29+0.5),8),8)," ")</f>
        <v xml:space="preserve"> </v>
      </c>
      <c r="AU22" s="13">
        <f t="shared" ca="1" si="10"/>
        <v>0</v>
      </c>
      <c r="AV22" s="110">
        <f>IF(AM22=" ",0,AM22-'CALIBRATION GUIDE'!$C$8)</f>
        <v>0</v>
      </c>
      <c r="AW22" s="13">
        <f>IF(AV22=0, 0, AV22*60/'CALIBRATION GUIDE'!$C$7)</f>
        <v>0</v>
      </c>
      <c r="AX22" s="13">
        <f t="shared" ca="1" si="19"/>
        <v>0</v>
      </c>
      <c r="AY22" s="13">
        <f t="shared" si="21"/>
        <v>185</v>
      </c>
      <c r="AZ22" t="str">
        <f>IF('CALIBRATION GUIDE'!E28="Y",IF(AI22="V",0,RIGHT(DEC2HEX((AX22)/180*2^31),8)), " ")</f>
        <v xml:space="preserve"> </v>
      </c>
    </row>
    <row r="23" spans="1:52">
      <c r="A23" s="79" t="str">
        <f>'CALIBRATION GUIDE'!B74</f>
        <v>Angle_PW20= 0.000 Angle_PW21= 0.000 Angle_PW22= 0.000 Angle_PW23= 0.000</v>
      </c>
      <c r="D23" s="88">
        <f t="shared" si="23"/>
        <v>35</v>
      </c>
      <c r="E23" s="88">
        <v>1</v>
      </c>
      <c r="G23" s="88" t="str">
        <f t="shared" ca="1" si="11"/>
        <v>016</v>
      </c>
      <c r="H23" s="90" t="str">
        <f t="shared" ca="1" si="0"/>
        <v>PH_SRC_24_25</v>
      </c>
      <c r="I23" s="91" t="str">
        <f t="shared" ca="1" si="1"/>
        <v>0</v>
      </c>
      <c r="J23" s="92" t="s">
        <v>7</v>
      </c>
      <c r="K23" s="92">
        <f t="shared" ref="K23:K50" ca="1" si="29">HEX2DEC(IF(AND(LEN(I23)=8,HEX2DEC(LEFT(I23,1))&gt;7),"FF","00")&amp;I23)/2^(0+MID(J23,FIND(".",J23)+1,2))</f>
        <v>0</v>
      </c>
      <c r="L23" s="80"/>
      <c r="N23" s="88">
        <f t="shared" si="24"/>
        <v>178</v>
      </c>
      <c r="O23" s="88">
        <v>1</v>
      </c>
      <c r="Q23" s="88" t="str">
        <f t="shared" ca="1" si="12"/>
        <v>016</v>
      </c>
      <c r="R23" s="90" t="str">
        <f t="shared" ca="1" si="3"/>
        <v>FREQ_CH4</v>
      </c>
      <c r="S23" s="91" t="str">
        <f t="shared" ca="1" si="4"/>
        <v>0</v>
      </c>
      <c r="T23" s="92" t="s">
        <v>19</v>
      </c>
      <c r="U23" s="92">
        <f t="shared" ref="U23:U50" ca="1" si="30">HEX2DEC(IF(AND(LEN(S23)=8,HEX2DEC(LEFT(S23,1))&gt;7),"FF","00")&amp;S23)/2^(0+MID(T23,FIND(".",T23)+1,2))</f>
        <v>0</v>
      </c>
      <c r="V23" s="80"/>
      <c r="X23" s="88">
        <f t="shared" si="25"/>
        <v>241</v>
      </c>
      <c r="Y23" s="88">
        <v>1</v>
      </c>
      <c r="AA23" s="88" t="str">
        <f t="shared" ca="1" si="13"/>
        <v>016</v>
      </c>
      <c r="AB23" s="90" t="str">
        <f t="shared" ca="1" si="6"/>
        <v>CH16</v>
      </c>
      <c r="AC23" s="91" t="str">
        <f t="shared" ca="1" si="7"/>
        <v>0</v>
      </c>
      <c r="AD23" s="92" t="s">
        <v>20</v>
      </c>
      <c r="AE23" s="92">
        <f t="shared" ca="1" si="28"/>
        <v>0</v>
      </c>
      <c r="AF23" s="80">
        <f t="shared" ca="1" si="14"/>
        <v>0</v>
      </c>
      <c r="AH23" s="13">
        <f>'CALIBRATION GUIDE'!B29</f>
        <v>16</v>
      </c>
      <c r="AI23" s="13" t="str">
        <f>'CALIBRATION GUIDE'!C29</f>
        <v>I(CT)</v>
      </c>
      <c r="AJ23" s="13" t="str">
        <f>IF('CALIBRATION GUIDE'!C29="V"," ",    IF(ISNA(MATCH(AH23,CONFIGURATOR!$D$21:$D$51,0))=TRUE," ",MATCH(AH23,CONFIGURATOR!$D$21:$D$51,0)-1)       )</f>
        <v xml:space="preserve"> </v>
      </c>
      <c r="AK23" s="13" t="str" cm="1">
        <f t="array" aca="1" ref="AK23" ca="1">IF(AJ23=" "," ",INDIRECT(ADDRESS(103+AJ23,31)))</f>
        <v xml:space="preserve"> </v>
      </c>
      <c r="AL23" s="13" t="str" cm="1">
        <f t="array" aca="1" ref="AL23" ca="1">IF(AJ23=" "," ",INDIRECT(ADDRESS(135+AJ23,31)))</f>
        <v xml:space="preserve"> </v>
      </c>
      <c r="AM23" s="13" t="str">
        <f t="shared" si="22"/>
        <v xml:space="preserve"> </v>
      </c>
      <c r="AN23" s="13">
        <f t="shared" ca="1" si="15"/>
        <v>0</v>
      </c>
      <c r="AO23" s="13">
        <f>'CALIBRATION GUIDE'!D29</f>
        <v>30</v>
      </c>
      <c r="AP23" s="13">
        <f t="shared" ca="1" si="16"/>
        <v>1</v>
      </c>
      <c r="AQ23" s="13">
        <f t="shared" ca="1" si="17"/>
        <v>1</v>
      </c>
      <c r="AR23" s="13">
        <f t="shared" ca="1" si="18"/>
        <v>1</v>
      </c>
      <c r="AS23" s="13">
        <f t="shared" si="20"/>
        <v>154</v>
      </c>
      <c r="AT23" s="13" t="str">
        <f>IF('CALIBRATION GUIDE'!E29="Y",RIGHT(DEC2HEX(INT(AR23*2^29+0.5),8),8)," ")</f>
        <v xml:space="preserve"> </v>
      </c>
      <c r="AU23" s="13">
        <f t="shared" ca="1" si="10"/>
        <v>0</v>
      </c>
      <c r="AV23" s="110">
        <f>IF(AM23=" ",0,AM23-'CALIBRATION GUIDE'!$C$8)</f>
        <v>0</v>
      </c>
      <c r="AW23" s="13">
        <f>IF(AV23=0, 0, AV23*60/'CALIBRATION GUIDE'!$C$7)</f>
        <v>0</v>
      </c>
      <c r="AX23" s="13">
        <f t="shared" ca="1" si="19"/>
        <v>0</v>
      </c>
      <c r="AY23" s="13">
        <f t="shared" si="21"/>
        <v>186</v>
      </c>
      <c r="AZ23" t="str">
        <f>IF('CALIBRATION GUIDE'!E29="Y",IF(AI23="V",0,RIGHT(DEC2HEX((AX23)/180*2^31),8)), " ")</f>
        <v xml:space="preserve"> </v>
      </c>
    </row>
    <row r="24" spans="1:52">
      <c r="A24" s="79" t="str">
        <f>'CALIBRATION GUIDE'!B75</f>
        <v>Angle_PW24= 0.000 Angle_PW25= 0.000 Angle_PW26= 0.000 Angle_PW27= 0.000</v>
      </c>
      <c r="D24" s="88">
        <f t="shared" si="23"/>
        <v>35</v>
      </c>
      <c r="E24" s="88">
        <v>2</v>
      </c>
      <c r="G24" s="88" t="str">
        <f t="shared" ca="1" si="11"/>
        <v>017</v>
      </c>
      <c r="H24" s="90" t="str">
        <f t="shared" ca="1" si="0"/>
        <v>PH_SRC_26_27</v>
      </c>
      <c r="I24" s="91" t="str">
        <f t="shared" ca="1" si="1"/>
        <v>0</v>
      </c>
      <c r="J24" s="92" t="s">
        <v>7</v>
      </c>
      <c r="K24" s="92">
        <f t="shared" ca="1" si="29"/>
        <v>0</v>
      </c>
      <c r="L24" s="80"/>
      <c r="N24" s="88">
        <f t="shared" si="24"/>
        <v>178</v>
      </c>
      <c r="O24" s="88">
        <v>2</v>
      </c>
      <c r="Q24" s="88" t="str">
        <f t="shared" ca="1" si="12"/>
        <v>017</v>
      </c>
      <c r="R24" s="90" t="str">
        <f t="shared" ca="1" si="3"/>
        <v>FREQ_CH5</v>
      </c>
      <c r="S24" s="91" t="str">
        <f t="shared" ca="1" si="4"/>
        <v>0</v>
      </c>
      <c r="T24" s="92" t="s">
        <v>19</v>
      </c>
      <c r="U24" s="92">
        <f t="shared" ca="1" si="30"/>
        <v>0</v>
      </c>
      <c r="V24" s="80"/>
      <c r="X24" s="88">
        <f t="shared" si="25"/>
        <v>241</v>
      </c>
      <c r="Y24" s="88">
        <v>2</v>
      </c>
      <c r="AA24" s="88" t="str">
        <f t="shared" ca="1" si="13"/>
        <v>017</v>
      </c>
      <c r="AB24" s="90" t="str">
        <f t="shared" ca="1" si="6"/>
        <v>CH17</v>
      </c>
      <c r="AC24" s="91" t="str">
        <f t="shared" ca="1" si="7"/>
        <v>0</v>
      </c>
      <c r="AD24" s="92" t="s">
        <v>20</v>
      </c>
      <c r="AE24" s="92">
        <f t="shared" ca="1" si="28"/>
        <v>0</v>
      </c>
      <c r="AF24" s="80">
        <f t="shared" ca="1" si="14"/>
        <v>0</v>
      </c>
      <c r="AH24" s="13">
        <f>'CALIBRATION GUIDE'!B30</f>
        <v>17</v>
      </c>
      <c r="AI24" s="13" t="str">
        <f>'CALIBRATION GUIDE'!C30</f>
        <v>I(CT)</v>
      </c>
      <c r="AJ24" s="13" t="str">
        <f>IF('CALIBRATION GUIDE'!C30="V"," ",    IF(ISNA(MATCH(AH24,CONFIGURATOR!$D$21:$D$51,0))=TRUE," ",MATCH(AH24,CONFIGURATOR!$D$21:$D$51,0)-1)       )</f>
        <v xml:space="preserve"> </v>
      </c>
      <c r="AK24" s="13" t="str" cm="1">
        <f t="array" aca="1" ref="AK24" ca="1">IF(AJ24=" "," ",INDIRECT(ADDRESS(103+AJ24,31)))</f>
        <v xml:space="preserve"> </v>
      </c>
      <c r="AL24" s="13" t="str" cm="1">
        <f t="array" aca="1" ref="AL24" ca="1">IF(AJ24=" "," ",INDIRECT(ADDRESS(135+AJ24,31)))</f>
        <v xml:space="preserve"> </v>
      </c>
      <c r="AM24" s="13" t="str">
        <f t="shared" si="22"/>
        <v xml:space="preserve"> </v>
      </c>
      <c r="AN24" s="13">
        <f t="shared" ca="1" si="15"/>
        <v>0</v>
      </c>
      <c r="AO24" s="13">
        <f>'CALIBRATION GUIDE'!D30</f>
        <v>30</v>
      </c>
      <c r="AP24" s="13">
        <f t="shared" ca="1" si="16"/>
        <v>1</v>
      </c>
      <c r="AQ24" s="13">
        <f t="shared" ca="1" si="17"/>
        <v>1</v>
      </c>
      <c r="AR24" s="13">
        <f t="shared" ca="1" si="18"/>
        <v>1</v>
      </c>
      <c r="AS24" s="13">
        <f t="shared" si="20"/>
        <v>155</v>
      </c>
      <c r="AT24" s="13" t="str">
        <f>IF('CALIBRATION GUIDE'!E30="Y",RIGHT(DEC2HEX(INT(AR24*2^29+0.5),8),8)," ")</f>
        <v xml:space="preserve"> </v>
      </c>
      <c r="AU24" s="13">
        <f t="shared" ca="1" si="10"/>
        <v>0</v>
      </c>
      <c r="AV24" s="110">
        <f>IF(AM24=" ",0,AM24-'CALIBRATION GUIDE'!$C$8)</f>
        <v>0</v>
      </c>
      <c r="AW24" s="13">
        <f>IF(AV24=0, 0, AV24*60/'CALIBRATION GUIDE'!$C$7)</f>
        <v>0</v>
      </c>
      <c r="AX24" s="13">
        <f t="shared" ca="1" si="19"/>
        <v>0</v>
      </c>
      <c r="AY24" s="13">
        <f t="shared" si="21"/>
        <v>187</v>
      </c>
      <c r="AZ24" t="str">
        <f>IF('CALIBRATION GUIDE'!E30="Y",IF(AI24="V",0,RIGHT(DEC2HEX((AX24)/180*2^31),8)), " ")</f>
        <v xml:space="preserve"> </v>
      </c>
    </row>
    <row r="25" spans="1:52">
      <c r="A25" s="79" t="str">
        <f>'CALIBRATION GUIDE'!B76</f>
        <v>Angle_PW28= 0.000 Angle_PW29= 0.000 Angle_PW30= 0.000</v>
      </c>
      <c r="D25" s="88">
        <f t="shared" si="23"/>
        <v>35</v>
      </c>
      <c r="E25" s="88">
        <v>3</v>
      </c>
      <c r="G25" s="88" t="str">
        <f t="shared" ca="1" si="11"/>
        <v>018</v>
      </c>
      <c r="H25" s="90" t="str">
        <f t="shared" ca="1" si="0"/>
        <v>PH_SRC_28_29</v>
      </c>
      <c r="I25" s="91" t="str">
        <f t="shared" ca="1" si="1"/>
        <v>0</v>
      </c>
      <c r="J25" s="92" t="s">
        <v>7</v>
      </c>
      <c r="K25" s="92">
        <f t="shared" ca="1" si="29"/>
        <v>0</v>
      </c>
      <c r="L25" s="80"/>
      <c r="N25" s="88">
        <f t="shared" si="24"/>
        <v>178</v>
      </c>
      <c r="O25" s="88">
        <v>3</v>
      </c>
      <c r="Q25" s="88" t="str">
        <f t="shared" ca="1" si="12"/>
        <v>018</v>
      </c>
      <c r="R25" s="90" t="str">
        <f t="shared" ca="1" si="3"/>
        <v>FREQ_CH6</v>
      </c>
      <c r="S25" s="91" t="str">
        <f t="shared" ca="1" si="4"/>
        <v>0</v>
      </c>
      <c r="T25" s="92" t="s">
        <v>19</v>
      </c>
      <c r="U25" s="92">
        <f t="shared" ca="1" si="30"/>
        <v>0</v>
      </c>
      <c r="V25" s="80"/>
      <c r="X25" s="88">
        <f t="shared" si="25"/>
        <v>241</v>
      </c>
      <c r="Y25" s="88">
        <v>3</v>
      </c>
      <c r="AA25" s="88" t="str">
        <f t="shared" ca="1" si="13"/>
        <v>018</v>
      </c>
      <c r="AB25" s="90" t="str">
        <f t="shared" ca="1" si="6"/>
        <v>CH18</v>
      </c>
      <c r="AC25" s="91" t="str">
        <f t="shared" ca="1" si="7"/>
        <v>0</v>
      </c>
      <c r="AD25" s="92" t="s">
        <v>20</v>
      </c>
      <c r="AE25" s="92">
        <f t="shared" ca="1" si="28"/>
        <v>0</v>
      </c>
      <c r="AF25" s="80">
        <f t="shared" ca="1" si="14"/>
        <v>0</v>
      </c>
      <c r="AH25" s="13">
        <f>'CALIBRATION GUIDE'!B31</f>
        <v>18</v>
      </c>
      <c r="AI25" s="13" t="str">
        <f>'CALIBRATION GUIDE'!C31</f>
        <v>I(CT)</v>
      </c>
      <c r="AJ25" s="13" t="str">
        <f>IF('CALIBRATION GUIDE'!C31="V"," ",    IF(ISNA(MATCH(AH25,CONFIGURATOR!$D$21:$D$51,0))=TRUE," ",MATCH(AH25,CONFIGURATOR!$D$21:$D$51,0)-1)       )</f>
        <v xml:space="preserve"> </v>
      </c>
      <c r="AK25" s="13" t="str" cm="1">
        <f t="array" aca="1" ref="AK25" ca="1">IF(AJ25=" "," ",INDIRECT(ADDRESS(103+AJ25,31)))</f>
        <v xml:space="preserve"> </v>
      </c>
      <c r="AL25" s="13" t="str" cm="1">
        <f t="array" aca="1" ref="AL25" ca="1">IF(AJ25=" "," ",INDIRECT(ADDRESS(135+AJ25,31)))</f>
        <v xml:space="preserve"> </v>
      </c>
      <c r="AM25" s="13" t="str">
        <f t="shared" si="22"/>
        <v xml:space="preserve"> </v>
      </c>
      <c r="AN25" s="13">
        <f t="shared" ca="1" si="15"/>
        <v>0</v>
      </c>
      <c r="AO25" s="13">
        <f>'CALIBRATION GUIDE'!D31</f>
        <v>30</v>
      </c>
      <c r="AP25" s="13">
        <f t="shared" ca="1" si="16"/>
        <v>1</v>
      </c>
      <c r="AQ25" s="13">
        <f t="shared" ca="1" si="17"/>
        <v>1</v>
      </c>
      <c r="AR25" s="13">
        <f t="shared" ca="1" si="18"/>
        <v>1</v>
      </c>
      <c r="AS25" s="13">
        <f t="shared" si="20"/>
        <v>156</v>
      </c>
      <c r="AT25" s="13" t="str">
        <f>IF('CALIBRATION GUIDE'!E31="Y",RIGHT(DEC2HEX(INT(AR25*2^29+0.5),8),8)," ")</f>
        <v xml:space="preserve"> </v>
      </c>
      <c r="AU25" s="13">
        <f t="shared" ca="1" si="10"/>
        <v>0</v>
      </c>
      <c r="AV25" s="110">
        <f>IF(AM25=" ",0,AM25-'CALIBRATION GUIDE'!$C$8)</f>
        <v>0</v>
      </c>
      <c r="AW25" s="13">
        <f>IF(AV25=0, 0, AV25*60/'CALIBRATION GUIDE'!$C$7)</f>
        <v>0</v>
      </c>
      <c r="AX25" s="13">
        <f t="shared" ca="1" si="19"/>
        <v>0</v>
      </c>
      <c r="AY25" s="13">
        <f t="shared" si="21"/>
        <v>188</v>
      </c>
      <c r="AZ25" t="str">
        <f>IF('CALIBRATION GUIDE'!E31="Y",IF(AI25="V",0,RIGHT(DEC2HEX((AX25)/180*2^31),8)), " ")</f>
        <v xml:space="preserve"> </v>
      </c>
    </row>
    <row r="26" spans="1:52">
      <c r="A26" s="25" t="str">
        <f>'CALIBRATION GUIDE'!B77</f>
        <v>DCR</v>
      </c>
      <c r="D26" s="88">
        <f t="shared" si="23"/>
        <v>35</v>
      </c>
      <c r="E26" s="88">
        <v>4</v>
      </c>
      <c r="G26" s="88" t="str">
        <f t="shared" ca="1" si="11"/>
        <v>019</v>
      </c>
      <c r="H26" s="90" t="str">
        <f t="shared" ca="1" si="0"/>
        <v>PH_SRC_30</v>
      </c>
      <c r="I26" s="91" t="str">
        <f t="shared" ca="1" si="1"/>
        <v>0</v>
      </c>
      <c r="J26" s="92" t="s">
        <v>7</v>
      </c>
      <c r="K26" s="92">
        <f t="shared" ca="1" si="29"/>
        <v>0</v>
      </c>
      <c r="L26" s="80"/>
      <c r="N26" s="88">
        <f t="shared" si="24"/>
        <v>178</v>
      </c>
      <c r="O26" s="88">
        <v>4</v>
      </c>
      <c r="Q26" s="88" t="str">
        <f t="shared" ca="1" si="12"/>
        <v>019</v>
      </c>
      <c r="R26" s="90" t="str">
        <f t="shared" ca="1" si="3"/>
        <v>FREQ_CH7</v>
      </c>
      <c r="S26" s="91" t="str">
        <f t="shared" ca="1" si="4"/>
        <v>36811</v>
      </c>
      <c r="T26" s="92" t="s">
        <v>19</v>
      </c>
      <c r="U26" s="92">
        <f t="shared" ca="1" si="30"/>
        <v>54.504150390625</v>
      </c>
      <c r="V26" s="80"/>
      <c r="X26" s="88">
        <f t="shared" si="25"/>
        <v>241</v>
      </c>
      <c r="Y26" s="88">
        <v>4</v>
      </c>
      <c r="AA26" s="88" t="str">
        <f t="shared" ca="1" si="13"/>
        <v>019</v>
      </c>
      <c r="AB26" s="90" t="str">
        <f t="shared" ca="1" si="6"/>
        <v>CH19</v>
      </c>
      <c r="AC26" s="91" t="str">
        <f t="shared" ca="1" si="7"/>
        <v>0</v>
      </c>
      <c r="AD26" s="92" t="s">
        <v>20</v>
      </c>
      <c r="AE26" s="92">
        <f t="shared" ca="1" si="28"/>
        <v>0</v>
      </c>
      <c r="AF26" s="80">
        <f t="shared" ca="1" si="14"/>
        <v>0</v>
      </c>
      <c r="AH26" s="13">
        <f>'CALIBRATION GUIDE'!B32</f>
        <v>19</v>
      </c>
      <c r="AI26" s="13" t="str">
        <f>'CALIBRATION GUIDE'!C32</f>
        <v>I(CT)</v>
      </c>
      <c r="AJ26" s="13" t="str">
        <f>IF('CALIBRATION GUIDE'!C32="V"," ",    IF(ISNA(MATCH(AH26,CONFIGURATOR!$D$21:$D$51,0))=TRUE," ",MATCH(AH26,CONFIGURATOR!$D$21:$D$51,0)-1)       )</f>
        <v xml:space="preserve"> </v>
      </c>
      <c r="AK26" s="13" t="str" cm="1">
        <f t="array" aca="1" ref="AK26" ca="1">IF(AJ26=" "," ",INDIRECT(ADDRESS(103+AJ26,31)))</f>
        <v xml:space="preserve"> </v>
      </c>
      <c r="AL26" s="13" t="str" cm="1">
        <f t="array" aca="1" ref="AL26" ca="1">IF(AJ26=" "," ",INDIRECT(ADDRESS(135+AJ26,31)))</f>
        <v xml:space="preserve"> </v>
      </c>
      <c r="AM26" s="13" t="str">
        <f t="shared" si="22"/>
        <v xml:space="preserve"> </v>
      </c>
      <c r="AN26" s="13">
        <f t="shared" ca="1" si="15"/>
        <v>0</v>
      </c>
      <c r="AO26" s="13">
        <f>'CALIBRATION GUIDE'!D32</f>
        <v>30</v>
      </c>
      <c r="AP26" s="13">
        <f t="shared" ca="1" si="16"/>
        <v>1</v>
      </c>
      <c r="AQ26" s="13">
        <f t="shared" ca="1" si="17"/>
        <v>1</v>
      </c>
      <c r="AR26" s="13">
        <f t="shared" ca="1" si="18"/>
        <v>1</v>
      </c>
      <c r="AS26" s="13">
        <f t="shared" si="20"/>
        <v>157</v>
      </c>
      <c r="AT26" s="13" t="str">
        <f>IF('CALIBRATION GUIDE'!E32="Y",RIGHT(DEC2HEX(INT(AR26*2^29+0.5),8),8)," ")</f>
        <v xml:space="preserve"> </v>
      </c>
      <c r="AU26" s="13">
        <f t="shared" ca="1" si="10"/>
        <v>0</v>
      </c>
      <c r="AV26" s="110">
        <f>IF(AM26=" ",0,AM26-'CALIBRATION GUIDE'!$C$8)</f>
        <v>0</v>
      </c>
      <c r="AW26" s="13">
        <f>IF(AV26=0, 0, AV26*60/'CALIBRATION GUIDE'!$C$7)</f>
        <v>0</v>
      </c>
      <c r="AX26" s="13">
        <f t="shared" ca="1" si="19"/>
        <v>0</v>
      </c>
      <c r="AY26" s="13">
        <f t="shared" si="21"/>
        <v>189</v>
      </c>
      <c r="AZ26" t="str">
        <f>IF('CALIBRATION GUIDE'!E32="Y",IF(AI26="V",0,RIGHT(DEC2HEX((AX26)/180*2^31),8)), " ")</f>
        <v xml:space="preserve"> </v>
      </c>
    </row>
    <row r="27" spans="1:52">
      <c r="A27" s="79" t="str">
        <f>'CALIBRATION GUIDE'!B78</f>
        <v>000 STATE_CTRL     001 FEATURE_CTRL0  002 FEATURE_CTRL1  003 RESERVED_C003</v>
      </c>
      <c r="D27" s="88">
        <f t="shared" si="23"/>
        <v>37</v>
      </c>
      <c r="E27" s="88">
        <v>1</v>
      </c>
      <c r="G27" s="88" t="str">
        <f t="shared" ca="1" si="11"/>
        <v>020</v>
      </c>
      <c r="H27" s="90" t="str">
        <f t="shared" ca="1" si="0"/>
        <v>METER_TYPE</v>
      </c>
      <c r="I27" s="91" t="str">
        <f t="shared" ca="1" si="1"/>
        <v>CCC</v>
      </c>
      <c r="J27" s="92" t="s">
        <v>7</v>
      </c>
      <c r="K27" s="92">
        <f t="shared" ca="1" si="29"/>
        <v>3276</v>
      </c>
      <c r="L27" s="80"/>
      <c r="N27" s="88">
        <f t="shared" si="24"/>
        <v>180</v>
      </c>
      <c r="O27" s="88">
        <v>1</v>
      </c>
      <c r="Q27" s="88" t="str">
        <f t="shared" ca="1" si="12"/>
        <v>020</v>
      </c>
      <c r="R27" s="90" t="str">
        <f t="shared" ca="1" si="3"/>
        <v>FREQ_CH8</v>
      </c>
      <c r="S27" s="91" t="str">
        <f t="shared" ca="1" si="4"/>
        <v>0</v>
      </c>
      <c r="T27" s="92" t="s">
        <v>19</v>
      </c>
      <c r="U27" s="92">
        <f t="shared" ca="1" si="30"/>
        <v>0</v>
      </c>
      <c r="V27" s="80"/>
      <c r="X27" s="88">
        <f t="shared" si="25"/>
        <v>243</v>
      </c>
      <c r="Y27" s="88">
        <v>1</v>
      </c>
      <c r="AA27" s="88" t="str">
        <f t="shared" ca="1" si="13"/>
        <v>020</v>
      </c>
      <c r="AB27" s="90" t="str">
        <f t="shared" ca="1" si="6"/>
        <v>CH20</v>
      </c>
      <c r="AC27" s="91" t="str">
        <f t="shared" ca="1" si="7"/>
        <v>0</v>
      </c>
      <c r="AD27" s="92" t="s">
        <v>20</v>
      </c>
      <c r="AE27" s="92">
        <f t="shared" ca="1" si="28"/>
        <v>0</v>
      </c>
      <c r="AF27" s="80">
        <f t="shared" ca="1" si="14"/>
        <v>0</v>
      </c>
      <c r="AH27" s="13">
        <f>'CALIBRATION GUIDE'!B33</f>
        <v>20</v>
      </c>
      <c r="AI27" s="13" t="str">
        <f>'CALIBRATION GUIDE'!C33</f>
        <v>I(CT)</v>
      </c>
      <c r="AJ27" s="13" t="str">
        <f>IF('CALIBRATION GUIDE'!C33="V"," ",    IF(ISNA(MATCH(AH27,CONFIGURATOR!$D$21:$D$51,0))=TRUE," ",MATCH(AH27,CONFIGURATOR!$D$21:$D$51,0)-1)       )</f>
        <v xml:space="preserve"> </v>
      </c>
      <c r="AK27" s="13" t="str" cm="1">
        <f t="array" aca="1" ref="AK27" ca="1">IF(AJ27=" "," ",INDIRECT(ADDRESS(103+AJ27,31)))</f>
        <v xml:space="preserve"> </v>
      </c>
      <c r="AL27" s="13" t="str" cm="1">
        <f t="array" aca="1" ref="AL27" ca="1">IF(AJ27=" "," ",INDIRECT(ADDRESS(135+AJ27,31)))</f>
        <v xml:space="preserve"> </v>
      </c>
      <c r="AM27" s="13" t="str">
        <f t="shared" si="22"/>
        <v xml:space="preserve"> </v>
      </c>
      <c r="AN27" s="13">
        <f t="shared" ca="1" si="15"/>
        <v>0</v>
      </c>
      <c r="AO27" s="13">
        <f>'CALIBRATION GUIDE'!D33</f>
        <v>30</v>
      </c>
      <c r="AP27" s="13">
        <f t="shared" ca="1" si="16"/>
        <v>1</v>
      </c>
      <c r="AQ27" s="13">
        <f t="shared" ca="1" si="17"/>
        <v>1</v>
      </c>
      <c r="AR27" s="13">
        <f t="shared" ca="1" si="18"/>
        <v>1</v>
      </c>
      <c r="AS27" s="13">
        <f t="shared" si="20"/>
        <v>158</v>
      </c>
      <c r="AT27" s="13" t="str">
        <f>IF('CALIBRATION GUIDE'!E33="Y",RIGHT(DEC2HEX(INT(AR27*2^29+0.5),8),8)," ")</f>
        <v xml:space="preserve"> </v>
      </c>
      <c r="AU27" s="13">
        <f t="shared" ca="1" si="10"/>
        <v>0</v>
      </c>
      <c r="AV27" s="110">
        <f>IF(AM27=" ",0,AM27-'CALIBRATION GUIDE'!$C$8)</f>
        <v>0</v>
      </c>
      <c r="AW27" s="13">
        <f>IF(AV27=0, 0, AV27*60/'CALIBRATION GUIDE'!$C$7)</f>
        <v>0</v>
      </c>
      <c r="AX27" s="13">
        <f t="shared" ca="1" si="19"/>
        <v>0</v>
      </c>
      <c r="AY27" s="13">
        <f t="shared" si="21"/>
        <v>190</v>
      </c>
      <c r="AZ27" t="str">
        <f>IF('CALIBRATION GUIDE'!E33="Y",IF(AI27="V",0,RIGHT(DEC2HEX((AX27)/180*2^31),8)), " ")</f>
        <v xml:space="preserve"> </v>
      </c>
    </row>
    <row r="28" spans="1:52">
      <c r="A28" s="79" t="str">
        <f>'CALIBRATION GUIDE'!B79</f>
        <v>2                  300                0                  0</v>
      </c>
      <c r="D28" s="88">
        <f t="shared" si="23"/>
        <v>37</v>
      </c>
      <c r="E28" s="88">
        <v>2</v>
      </c>
      <c r="G28" s="88" t="str">
        <f t="shared" ca="1" si="11"/>
        <v>021</v>
      </c>
      <c r="H28" s="90" t="str">
        <f t="shared" ca="1" si="0"/>
        <v>SENSOR_TYPE_0</v>
      </c>
      <c r="I28" s="91" t="str">
        <f t="shared" ca="1" si="1"/>
        <v>CCC03F</v>
      </c>
      <c r="J28" s="92" t="s">
        <v>7</v>
      </c>
      <c r="K28" s="92">
        <f t="shared" ca="1" si="29"/>
        <v>13418559</v>
      </c>
      <c r="L28" s="80"/>
      <c r="N28" s="88">
        <f t="shared" si="24"/>
        <v>180</v>
      </c>
      <c r="O28" s="88">
        <v>2</v>
      </c>
      <c r="Q28" s="88" t="str">
        <f t="shared" ca="1" si="12"/>
        <v>021</v>
      </c>
      <c r="R28" s="90" t="str">
        <f t="shared" ca="1" si="3"/>
        <v>FREQ_CH9</v>
      </c>
      <c r="S28" s="91" t="str">
        <f t="shared" ca="1" si="4"/>
        <v>0</v>
      </c>
      <c r="T28" s="92" t="s">
        <v>19</v>
      </c>
      <c r="U28" s="92">
        <f t="shared" ca="1" si="30"/>
        <v>0</v>
      </c>
      <c r="V28" s="80"/>
      <c r="X28" s="88">
        <f t="shared" si="25"/>
        <v>243</v>
      </c>
      <c r="Y28" s="88">
        <v>2</v>
      </c>
      <c r="AA28" s="88" t="str">
        <f t="shared" ca="1" si="13"/>
        <v>021</v>
      </c>
      <c r="AB28" s="90" t="str">
        <f t="shared" ca="1" si="6"/>
        <v>CH21</v>
      </c>
      <c r="AC28" s="91" t="str">
        <f t="shared" ca="1" si="7"/>
        <v>0</v>
      </c>
      <c r="AD28" s="92" t="s">
        <v>20</v>
      </c>
      <c r="AE28" s="92">
        <f t="shared" ca="1" si="28"/>
        <v>0</v>
      </c>
      <c r="AF28" s="80">
        <f t="shared" ca="1" si="14"/>
        <v>0</v>
      </c>
      <c r="AH28" s="13">
        <f>'CALIBRATION GUIDE'!B34</f>
        <v>21</v>
      </c>
      <c r="AI28" s="13" t="str">
        <f>'CALIBRATION GUIDE'!C34</f>
        <v>I(CT)</v>
      </c>
      <c r="AJ28" s="13" t="str">
        <f>IF('CALIBRATION GUIDE'!C34="V"," ",    IF(ISNA(MATCH(AH28,CONFIGURATOR!$D$21:$D$51,0))=TRUE," ",MATCH(AH28,CONFIGURATOR!$D$21:$D$51,0)-1)       )</f>
        <v xml:space="preserve"> </v>
      </c>
      <c r="AK28" s="13" t="str" cm="1">
        <f t="array" aca="1" ref="AK28" ca="1">IF(AJ28=" "," ",INDIRECT(ADDRESS(103+AJ28,31)))</f>
        <v xml:space="preserve"> </v>
      </c>
      <c r="AL28" s="13" t="str" cm="1">
        <f t="array" aca="1" ref="AL28" ca="1">IF(AJ28=" "," ",INDIRECT(ADDRESS(135+AJ28,31)))</f>
        <v xml:space="preserve"> </v>
      </c>
      <c r="AM28" s="13" t="str">
        <f t="shared" si="22"/>
        <v xml:space="preserve"> </v>
      </c>
      <c r="AN28" s="13">
        <f t="shared" ca="1" si="15"/>
        <v>0</v>
      </c>
      <c r="AO28" s="13">
        <f>'CALIBRATION GUIDE'!D34</f>
        <v>30</v>
      </c>
      <c r="AP28" s="13">
        <f t="shared" ca="1" si="16"/>
        <v>1</v>
      </c>
      <c r="AQ28" s="13">
        <f t="shared" ca="1" si="17"/>
        <v>1</v>
      </c>
      <c r="AR28" s="13">
        <f t="shared" ca="1" si="18"/>
        <v>1</v>
      </c>
      <c r="AS28" s="13">
        <f t="shared" si="20"/>
        <v>159</v>
      </c>
      <c r="AT28" s="13" t="str">
        <f>IF('CALIBRATION GUIDE'!E34="Y",RIGHT(DEC2HEX(INT(AR28*2^29+0.5),8),8)," ")</f>
        <v xml:space="preserve"> </v>
      </c>
      <c r="AU28" s="13">
        <f t="shared" ca="1" si="10"/>
        <v>0</v>
      </c>
      <c r="AV28" s="110">
        <f>IF(AM28=" ",0,AM28-'CALIBRATION GUIDE'!$C$8)</f>
        <v>0</v>
      </c>
      <c r="AW28" s="13">
        <f>IF(AV28=0, 0, AV28*60/'CALIBRATION GUIDE'!$C$7)</f>
        <v>0</v>
      </c>
      <c r="AX28" s="13">
        <f t="shared" ca="1" si="19"/>
        <v>0</v>
      </c>
      <c r="AY28" s="13">
        <f t="shared" si="21"/>
        <v>191</v>
      </c>
      <c r="AZ28" t="str">
        <f>IF('CALIBRATION GUIDE'!E34="Y",IF(AI28="V",0,RIGHT(DEC2HEX((AX28)/180*2^31),8)), " ")</f>
        <v xml:space="preserve"> </v>
      </c>
    </row>
    <row r="29" spans="1:52">
      <c r="A29" s="79" t="str">
        <f>'CALIBRATION GUIDE'!B80</f>
        <v>004 PH_SRC_0_1     005 PH_SRC_2_3     006 PH_SRC_4_5     007 PH_SRC_6_7</v>
      </c>
      <c r="D29" s="88">
        <f t="shared" si="23"/>
        <v>37</v>
      </c>
      <c r="E29" s="88">
        <v>3</v>
      </c>
      <c r="G29" s="88" t="str">
        <f t="shared" ca="1" si="11"/>
        <v>022</v>
      </c>
      <c r="H29" s="90" t="str">
        <f t="shared" ca="1" si="0"/>
        <v>SENSOR_TYPE_1</v>
      </c>
      <c r="I29" s="91" t="str">
        <f t="shared" ca="1" si="1"/>
        <v>0</v>
      </c>
      <c r="J29" s="92" t="s">
        <v>7</v>
      </c>
      <c r="K29" s="92">
        <f t="shared" ca="1" si="29"/>
        <v>0</v>
      </c>
      <c r="L29" s="80"/>
      <c r="N29" s="88">
        <f t="shared" si="24"/>
        <v>180</v>
      </c>
      <c r="O29" s="88">
        <v>3</v>
      </c>
      <c r="Q29" s="88" t="str">
        <f t="shared" ca="1" si="12"/>
        <v>022</v>
      </c>
      <c r="R29" s="90" t="str">
        <f t="shared" ca="1" si="3"/>
        <v>FREQ_CH10</v>
      </c>
      <c r="S29" s="91" t="str">
        <f t="shared" ca="1" si="4"/>
        <v>0</v>
      </c>
      <c r="T29" s="92" t="s">
        <v>19</v>
      </c>
      <c r="U29" s="92">
        <f t="shared" ca="1" si="30"/>
        <v>0</v>
      </c>
      <c r="V29" s="80"/>
      <c r="X29" s="88">
        <f t="shared" si="25"/>
        <v>243</v>
      </c>
      <c r="Y29" s="88">
        <v>3</v>
      </c>
      <c r="AA29" s="88" t="str">
        <f t="shared" ca="1" si="13"/>
        <v>022</v>
      </c>
      <c r="AB29" s="90" t="str">
        <f t="shared" ca="1" si="6"/>
        <v>CH22</v>
      </c>
      <c r="AC29" s="91" t="str">
        <f t="shared" ca="1" si="7"/>
        <v>0</v>
      </c>
      <c r="AD29" s="92" t="s">
        <v>20</v>
      </c>
      <c r="AE29" s="92">
        <f t="shared" ca="1" si="28"/>
        <v>0</v>
      </c>
      <c r="AF29" s="80">
        <f t="shared" ca="1" si="14"/>
        <v>0</v>
      </c>
      <c r="AH29" s="13">
        <f>'CALIBRATION GUIDE'!B35</f>
        <v>22</v>
      </c>
      <c r="AI29" s="13" t="str">
        <f>'CALIBRATION GUIDE'!C35</f>
        <v>I(CT)</v>
      </c>
      <c r="AJ29" s="13" t="str">
        <f>IF('CALIBRATION GUIDE'!C35="V"," ",    IF(ISNA(MATCH(AH29,CONFIGURATOR!$D$21:$D$51,0))=TRUE," ",MATCH(AH29,CONFIGURATOR!$D$21:$D$51,0)-1)       )</f>
        <v xml:space="preserve"> </v>
      </c>
      <c r="AK29" s="13" t="str" cm="1">
        <f t="array" aca="1" ref="AK29" ca="1">IF(AJ29=" "," ",INDIRECT(ADDRESS(103+AJ29,31)))</f>
        <v xml:space="preserve"> </v>
      </c>
      <c r="AL29" s="13" t="str" cm="1">
        <f t="array" aca="1" ref="AL29" ca="1">IF(AJ29=" "," ",INDIRECT(ADDRESS(135+AJ29,31)))</f>
        <v xml:space="preserve"> </v>
      </c>
      <c r="AM29" s="13" t="str">
        <f t="shared" si="22"/>
        <v xml:space="preserve"> </v>
      </c>
      <c r="AN29" s="13">
        <f t="shared" ca="1" si="15"/>
        <v>0</v>
      </c>
      <c r="AO29" s="13">
        <f>'CALIBRATION GUIDE'!D35</f>
        <v>30</v>
      </c>
      <c r="AP29" s="13">
        <f t="shared" ca="1" si="16"/>
        <v>1</v>
      </c>
      <c r="AQ29" s="13">
        <f t="shared" ca="1" si="17"/>
        <v>1</v>
      </c>
      <c r="AR29" s="13">
        <f t="shared" ca="1" si="18"/>
        <v>1</v>
      </c>
      <c r="AS29" s="13">
        <f t="shared" si="20"/>
        <v>160</v>
      </c>
      <c r="AT29" s="13" t="str">
        <f>IF('CALIBRATION GUIDE'!E35="Y",RIGHT(DEC2HEX(INT(AR29*2^29+0.5),8),8)," ")</f>
        <v xml:space="preserve"> </v>
      </c>
      <c r="AU29" s="13">
        <f t="shared" ca="1" si="10"/>
        <v>0</v>
      </c>
      <c r="AV29" s="110">
        <f>IF(AM29=" ",0,AM29-'CALIBRATION GUIDE'!$C$8)</f>
        <v>0</v>
      </c>
      <c r="AW29" s="13">
        <f>IF(AV29=0, 0, AV29*60/'CALIBRATION GUIDE'!$C$7)</f>
        <v>0</v>
      </c>
      <c r="AX29" s="13">
        <f t="shared" ca="1" si="19"/>
        <v>0</v>
      </c>
      <c r="AY29" s="13">
        <f t="shared" si="21"/>
        <v>192</v>
      </c>
      <c r="AZ29" t="str">
        <f>IF('CALIBRATION GUIDE'!E35="Y",IF(AI29="V",0,RIGHT(DEC2HEX((AX29)/180*2^31),8)), " ")</f>
        <v xml:space="preserve"> </v>
      </c>
    </row>
    <row r="30" spans="1:52">
      <c r="A30" s="79" t="str">
        <f>'CALIBRATION GUIDE'!B81</f>
        <v>4010300            502                0                  0</v>
      </c>
      <c r="D30" s="88">
        <f t="shared" si="23"/>
        <v>37</v>
      </c>
      <c r="E30" s="88">
        <v>4</v>
      </c>
      <c r="G30" s="88" t="str">
        <f t="shared" ca="1" si="11"/>
        <v>023</v>
      </c>
      <c r="H30" s="90" t="str">
        <f t="shared" ca="1" si="0"/>
        <v>M</v>
      </c>
      <c r="I30" s="91" t="str">
        <f t="shared" ca="1" si="1"/>
        <v>0</v>
      </c>
      <c r="J30" s="92" t="s">
        <v>7</v>
      </c>
      <c r="K30" s="92">
        <f t="shared" ca="1" si="29"/>
        <v>0</v>
      </c>
      <c r="L30" s="80"/>
      <c r="N30" s="88">
        <f t="shared" si="24"/>
        <v>180</v>
      </c>
      <c r="O30" s="88">
        <v>4</v>
      </c>
      <c r="Q30" s="88" t="str">
        <f t="shared" ca="1" si="12"/>
        <v>023</v>
      </c>
      <c r="R30" s="90" t="str">
        <f t="shared" ca="1" si="3"/>
        <v>FREQ_CH11</v>
      </c>
      <c r="S30" s="91" t="str">
        <f t="shared" ca="1" si="4"/>
        <v>0</v>
      </c>
      <c r="T30" s="92" t="s">
        <v>19</v>
      </c>
      <c r="U30" s="92">
        <f t="shared" ca="1" si="30"/>
        <v>0</v>
      </c>
      <c r="V30" s="80"/>
      <c r="X30" s="88">
        <f t="shared" si="25"/>
        <v>243</v>
      </c>
      <c r="Y30" s="88">
        <v>4</v>
      </c>
      <c r="AA30" s="88" t="str">
        <f t="shared" ca="1" si="13"/>
        <v>023</v>
      </c>
      <c r="AB30" s="90" t="str">
        <f t="shared" ca="1" si="6"/>
        <v>CH23</v>
      </c>
      <c r="AC30" s="91" t="str">
        <f t="shared" ca="1" si="7"/>
        <v>0</v>
      </c>
      <c r="AD30" s="92" t="s">
        <v>20</v>
      </c>
      <c r="AE30" s="92">
        <f t="shared" ca="1" si="28"/>
        <v>0</v>
      </c>
      <c r="AF30" s="80">
        <f t="shared" ca="1" si="14"/>
        <v>0</v>
      </c>
      <c r="AH30" s="13">
        <f>'CALIBRATION GUIDE'!B36</f>
        <v>23</v>
      </c>
      <c r="AI30" s="13" t="str">
        <f>'CALIBRATION GUIDE'!C36</f>
        <v>I(CT)</v>
      </c>
      <c r="AJ30" s="13" t="str">
        <f>IF('CALIBRATION GUIDE'!C36="V"," ",    IF(ISNA(MATCH(AH30,CONFIGURATOR!$D$21:$D$51,0))=TRUE," ",MATCH(AH30,CONFIGURATOR!$D$21:$D$51,0)-1)       )</f>
        <v xml:space="preserve"> </v>
      </c>
      <c r="AK30" s="13" t="str" cm="1">
        <f t="array" aca="1" ref="AK30" ca="1">IF(AJ30=" "," ",INDIRECT(ADDRESS(103+AJ30,31)))</f>
        <v xml:space="preserve"> </v>
      </c>
      <c r="AL30" s="13" t="str" cm="1">
        <f t="array" aca="1" ref="AL30" ca="1">IF(AJ30=" "," ",INDIRECT(ADDRESS(135+AJ30,31)))</f>
        <v xml:space="preserve"> </v>
      </c>
      <c r="AM30" s="13" t="str">
        <f t="shared" si="22"/>
        <v xml:space="preserve"> </v>
      </c>
      <c r="AN30" s="13">
        <f t="shared" ca="1" si="15"/>
        <v>0</v>
      </c>
      <c r="AO30" s="13">
        <f>'CALIBRATION GUIDE'!D36</f>
        <v>30</v>
      </c>
      <c r="AP30" s="13">
        <f t="shared" ca="1" si="16"/>
        <v>1</v>
      </c>
      <c r="AQ30" s="13">
        <f t="shared" ca="1" si="17"/>
        <v>1</v>
      </c>
      <c r="AR30" s="13">
        <f t="shared" ca="1" si="18"/>
        <v>1</v>
      </c>
      <c r="AS30" s="13">
        <f t="shared" si="20"/>
        <v>161</v>
      </c>
      <c r="AT30" s="13" t="str">
        <f>IF('CALIBRATION GUIDE'!E36="Y",RIGHT(DEC2HEX(INT(AR30*2^29+0.5),8),8)," ")</f>
        <v xml:space="preserve"> </v>
      </c>
      <c r="AU30" s="13">
        <f t="shared" ca="1" si="10"/>
        <v>0</v>
      </c>
      <c r="AV30" s="110">
        <f>IF(AM30=" ",0,AM30-'CALIBRATION GUIDE'!$C$8)</f>
        <v>0</v>
      </c>
      <c r="AW30" s="13">
        <f>IF(AV30=0, 0, AV30*60/'CALIBRATION GUIDE'!$C$7)</f>
        <v>0</v>
      </c>
      <c r="AX30" s="13">
        <f t="shared" ca="1" si="19"/>
        <v>0</v>
      </c>
      <c r="AY30" s="13">
        <f t="shared" si="21"/>
        <v>193</v>
      </c>
      <c r="AZ30" t="str">
        <f>IF('CALIBRATION GUIDE'!E36="Y",IF(AI30="V",0,RIGHT(DEC2HEX((AX30)/180*2^31),8)), " ")</f>
        <v xml:space="preserve"> </v>
      </c>
    </row>
    <row r="31" spans="1:52">
      <c r="A31" s="79" t="str">
        <f>'CALIBRATION GUIDE'!B82</f>
        <v>008 PH_SRC_8_9     009 PH_SRC_10_11   010 PH_SRC_12_13   011 PH_SRC_14_15</v>
      </c>
      <c r="D31" s="88">
        <f t="shared" si="23"/>
        <v>39</v>
      </c>
      <c r="E31" s="88">
        <v>1</v>
      </c>
      <c r="G31" s="88" t="str">
        <f t="shared" ca="1" si="11"/>
        <v>024</v>
      </c>
      <c r="H31" s="90" t="str">
        <f t="shared" ca="1" si="0"/>
        <v>N_MAX</v>
      </c>
      <c r="I31" s="91" t="str">
        <f t="shared" ca="1" si="1"/>
        <v>1130</v>
      </c>
      <c r="J31" s="92" t="s">
        <v>7</v>
      </c>
      <c r="K31" s="92">
        <f t="shared" ca="1" si="29"/>
        <v>4400</v>
      </c>
      <c r="L31" s="80"/>
      <c r="N31" s="88">
        <f t="shared" si="24"/>
        <v>182</v>
      </c>
      <c r="O31" s="88">
        <v>1</v>
      </c>
      <c r="Q31" s="88" t="str">
        <f t="shared" ca="1" si="12"/>
        <v>024</v>
      </c>
      <c r="R31" s="90" t="str">
        <f t="shared" ca="1" si="3"/>
        <v>FREQ_CH12</v>
      </c>
      <c r="S31" s="91" t="str">
        <f t="shared" ca="1" si="4"/>
        <v>0</v>
      </c>
      <c r="T31" s="92" t="s">
        <v>19</v>
      </c>
      <c r="U31" s="92">
        <f t="shared" ca="1" si="30"/>
        <v>0</v>
      </c>
      <c r="V31" s="80"/>
      <c r="X31" s="88">
        <f t="shared" si="25"/>
        <v>245</v>
      </c>
      <c r="Y31" s="88">
        <v>1</v>
      </c>
      <c r="AA31" s="88" t="str">
        <f t="shared" ca="1" si="13"/>
        <v>024</v>
      </c>
      <c r="AB31" s="90" t="str">
        <f t="shared" ca="1" si="6"/>
        <v>CH24</v>
      </c>
      <c r="AC31" s="91" t="str">
        <f t="shared" ca="1" si="7"/>
        <v>0</v>
      </c>
      <c r="AD31" s="92" t="s">
        <v>20</v>
      </c>
      <c r="AE31" s="92">
        <f t="shared" ca="1" si="28"/>
        <v>0</v>
      </c>
      <c r="AF31" s="80">
        <f t="shared" ca="1" si="14"/>
        <v>0</v>
      </c>
      <c r="AH31" s="13">
        <f>'CALIBRATION GUIDE'!B37</f>
        <v>24</v>
      </c>
      <c r="AI31" s="13" t="str">
        <f>'CALIBRATION GUIDE'!C37</f>
        <v>I(CT)</v>
      </c>
      <c r="AJ31" s="13" t="str">
        <f>IF('CALIBRATION GUIDE'!C37="V"," ",    IF(ISNA(MATCH(AH31,CONFIGURATOR!$D$21:$D$51,0))=TRUE," ",MATCH(AH31,CONFIGURATOR!$D$21:$D$51,0)-1)       )</f>
        <v xml:space="preserve"> </v>
      </c>
      <c r="AK31" s="13" t="str" cm="1">
        <f t="array" aca="1" ref="AK31" ca="1">IF(AJ31=" "," ",INDIRECT(ADDRESS(103+AJ31,31)))</f>
        <v xml:space="preserve"> </v>
      </c>
      <c r="AL31" s="13" t="str" cm="1">
        <f t="array" aca="1" ref="AL31" ca="1">IF(AJ31=" "," ",INDIRECT(ADDRESS(135+AJ31,31)))</f>
        <v xml:space="preserve"> </v>
      </c>
      <c r="AM31" s="13" t="str">
        <f t="shared" si="22"/>
        <v xml:space="preserve"> </v>
      </c>
      <c r="AN31" s="13">
        <f t="shared" ca="1" si="15"/>
        <v>0</v>
      </c>
      <c r="AO31" s="13">
        <f>'CALIBRATION GUIDE'!D37</f>
        <v>30</v>
      </c>
      <c r="AP31" s="13">
        <f t="shared" ca="1" si="16"/>
        <v>1</v>
      </c>
      <c r="AQ31" s="13">
        <f t="shared" ca="1" si="17"/>
        <v>1</v>
      </c>
      <c r="AR31" s="13">
        <f t="shared" ca="1" si="18"/>
        <v>1</v>
      </c>
      <c r="AS31" s="13">
        <f t="shared" si="20"/>
        <v>162</v>
      </c>
      <c r="AT31" s="13" t="str">
        <f>IF('CALIBRATION GUIDE'!E37="Y",RIGHT(DEC2HEX(INT(AR31*2^29+0.5),8),8)," ")</f>
        <v xml:space="preserve"> </v>
      </c>
      <c r="AU31" s="13">
        <f t="shared" ca="1" si="10"/>
        <v>0</v>
      </c>
      <c r="AV31" s="110">
        <f>IF(AM31=" ",0,AM31-'CALIBRATION GUIDE'!$C$8)</f>
        <v>0</v>
      </c>
      <c r="AW31" s="13">
        <f>IF(AV31=0, 0, AV31*60/'CALIBRATION GUIDE'!$C$7)</f>
        <v>0</v>
      </c>
      <c r="AX31" s="13">
        <f t="shared" ca="1" si="19"/>
        <v>0</v>
      </c>
      <c r="AY31" s="13">
        <f t="shared" si="21"/>
        <v>194</v>
      </c>
      <c r="AZ31" t="str">
        <f>IF('CALIBRATION GUIDE'!E37="Y",IF(AI31="V",0,RIGHT(DEC2HEX((AX31)/180*2^31),8)), " ")</f>
        <v xml:space="preserve"> </v>
      </c>
    </row>
    <row r="32" spans="1:52">
      <c r="A32" s="79" t="str">
        <f>'CALIBRATION GUIDE'!B83</f>
        <v>0                  0                  0                  0</v>
      </c>
      <c r="D32" s="88">
        <f t="shared" si="23"/>
        <v>39</v>
      </c>
      <c r="E32" s="88">
        <v>2</v>
      </c>
      <c r="G32" s="88" t="str">
        <f t="shared" ca="1" si="11"/>
        <v>025</v>
      </c>
      <c r="H32" s="90" t="str">
        <f t="shared" ca="1" si="0"/>
        <v>PULSE_CTRL0</v>
      </c>
      <c r="I32" s="91" t="str">
        <f t="shared" ca="1" si="1"/>
        <v>810001D0</v>
      </c>
      <c r="J32" s="92" t="s">
        <v>7</v>
      </c>
      <c r="K32" s="92">
        <f t="shared" ca="1" si="29"/>
        <v>-2130705968</v>
      </c>
      <c r="L32" s="80"/>
      <c r="N32" s="88">
        <f t="shared" si="24"/>
        <v>182</v>
      </c>
      <c r="O32" s="88">
        <v>2</v>
      </c>
      <c r="Q32" s="88" t="str">
        <f t="shared" ca="1" si="12"/>
        <v>025</v>
      </c>
      <c r="R32" s="90" t="str">
        <f t="shared" ca="1" si="3"/>
        <v>FREQ_CH13</v>
      </c>
      <c r="S32" s="91" t="str">
        <f t="shared" ca="1" si="4"/>
        <v>0</v>
      </c>
      <c r="T32" s="92" t="s">
        <v>19</v>
      </c>
      <c r="U32" s="92">
        <f t="shared" ca="1" si="30"/>
        <v>0</v>
      </c>
      <c r="V32" s="80"/>
      <c r="X32" s="88">
        <f t="shared" si="25"/>
        <v>245</v>
      </c>
      <c r="Y32" s="88">
        <v>2</v>
      </c>
      <c r="AA32" s="88" t="str">
        <f t="shared" ca="1" si="13"/>
        <v>025</v>
      </c>
      <c r="AB32" s="90" t="str">
        <f t="shared" ca="1" si="6"/>
        <v>CH25</v>
      </c>
      <c r="AC32" s="91" t="str">
        <f t="shared" ca="1" si="7"/>
        <v>0</v>
      </c>
      <c r="AD32" s="92" t="s">
        <v>20</v>
      </c>
      <c r="AE32" s="92">
        <f t="shared" ca="1" si="28"/>
        <v>0</v>
      </c>
      <c r="AF32" s="80">
        <f t="shared" ca="1" si="14"/>
        <v>0</v>
      </c>
      <c r="AH32" s="13">
        <f>'CALIBRATION GUIDE'!B38</f>
        <v>25</v>
      </c>
      <c r="AI32" s="13" t="str">
        <f>'CALIBRATION GUIDE'!C38</f>
        <v>I(CT)</v>
      </c>
      <c r="AJ32" s="13" t="str">
        <f>IF('CALIBRATION GUIDE'!C38="V"," ",    IF(ISNA(MATCH(AH32,CONFIGURATOR!$D$21:$D$51,0))=TRUE," ",MATCH(AH32,CONFIGURATOR!$D$21:$D$51,0)-1)       )</f>
        <v xml:space="preserve"> </v>
      </c>
      <c r="AK32" s="13" t="str" cm="1">
        <f t="array" aca="1" ref="AK32" ca="1">IF(AJ32=" "," ",INDIRECT(ADDRESS(103+AJ32,31)))</f>
        <v xml:space="preserve"> </v>
      </c>
      <c r="AL32" s="13" t="str" cm="1">
        <f t="array" aca="1" ref="AL32" ca="1">IF(AJ32=" "," ",INDIRECT(ADDRESS(135+AJ32,31)))</f>
        <v xml:space="preserve"> </v>
      </c>
      <c r="AM32" s="13" t="str">
        <f t="shared" si="22"/>
        <v xml:space="preserve"> </v>
      </c>
      <c r="AN32" s="13">
        <f t="shared" ca="1" si="15"/>
        <v>0</v>
      </c>
      <c r="AO32" s="13">
        <f>'CALIBRATION GUIDE'!D38</f>
        <v>30</v>
      </c>
      <c r="AP32" s="13">
        <f t="shared" ca="1" si="16"/>
        <v>1</v>
      </c>
      <c r="AQ32" s="13">
        <f t="shared" ca="1" si="17"/>
        <v>1</v>
      </c>
      <c r="AR32" s="13">
        <f t="shared" ca="1" si="18"/>
        <v>1</v>
      </c>
      <c r="AS32" s="13">
        <f t="shared" si="20"/>
        <v>163</v>
      </c>
      <c r="AT32" s="13" t="str">
        <f>IF('CALIBRATION GUIDE'!E38="Y",RIGHT(DEC2HEX(INT(AR32*2^29+0.5),8),8)," ")</f>
        <v xml:space="preserve"> </v>
      </c>
      <c r="AU32" s="13">
        <f t="shared" ca="1" si="10"/>
        <v>0</v>
      </c>
      <c r="AV32" s="110">
        <f>IF(AM32=" ",0,AM32-'CALIBRATION GUIDE'!$C$8)</f>
        <v>0</v>
      </c>
      <c r="AW32" s="13">
        <f>IF(AV32=0, 0, AV32*60/'CALIBRATION GUIDE'!$C$7)</f>
        <v>0</v>
      </c>
      <c r="AX32" s="13">
        <f t="shared" ca="1" si="19"/>
        <v>0</v>
      </c>
      <c r="AY32" s="13">
        <f t="shared" si="21"/>
        <v>195</v>
      </c>
      <c r="AZ32" t="str">
        <f>IF('CALIBRATION GUIDE'!E38="Y",IF(AI32="V",0,RIGHT(DEC2HEX((AX32)/180*2^31),8)), " ")</f>
        <v xml:space="preserve"> </v>
      </c>
    </row>
    <row r="33" spans="1:52">
      <c r="A33" s="79" t="str">
        <f>'CALIBRATION GUIDE'!B84</f>
        <v>012 PH_SRC_16_17   013 PH_SRC_18_19   014 PH_SRC_20_21   015 PH_SRC_22_23</v>
      </c>
      <c r="D33" s="88">
        <f t="shared" si="23"/>
        <v>39</v>
      </c>
      <c r="E33" s="88">
        <v>3</v>
      </c>
      <c r="G33" s="88" t="str">
        <f t="shared" ca="1" si="11"/>
        <v>026</v>
      </c>
      <c r="H33" s="90" t="str">
        <f t="shared" ca="1" si="0"/>
        <v>PULSE_CTRL1</v>
      </c>
      <c r="I33" s="91" t="str">
        <f t="shared" ca="1" si="1"/>
        <v>810201D0</v>
      </c>
      <c r="J33" s="92" t="s">
        <v>7</v>
      </c>
      <c r="K33" s="92">
        <f t="shared" ca="1" si="29"/>
        <v>-2130574896</v>
      </c>
      <c r="L33" s="80"/>
      <c r="N33" s="88">
        <f t="shared" si="24"/>
        <v>182</v>
      </c>
      <c r="O33" s="88">
        <v>3</v>
      </c>
      <c r="Q33" s="88" t="str">
        <f t="shared" ca="1" si="12"/>
        <v>026</v>
      </c>
      <c r="R33" s="90" t="str">
        <f t="shared" ca="1" si="3"/>
        <v>FREQ_CH14</v>
      </c>
      <c r="S33" s="91" t="str">
        <f t="shared" ca="1" si="4"/>
        <v>0</v>
      </c>
      <c r="T33" s="92" t="s">
        <v>19</v>
      </c>
      <c r="U33" s="92">
        <f t="shared" ca="1" si="30"/>
        <v>0</v>
      </c>
      <c r="V33" s="80"/>
      <c r="X33" s="88">
        <f t="shared" si="25"/>
        <v>245</v>
      </c>
      <c r="Y33" s="88">
        <v>3</v>
      </c>
      <c r="AA33" s="88" t="str">
        <f t="shared" ca="1" si="13"/>
        <v>026</v>
      </c>
      <c r="AB33" s="90" t="str">
        <f t="shared" ca="1" si="6"/>
        <v>CH26</v>
      </c>
      <c r="AC33" s="91" t="str">
        <f t="shared" ca="1" si="7"/>
        <v>0</v>
      </c>
      <c r="AD33" s="92" t="s">
        <v>20</v>
      </c>
      <c r="AE33" s="92">
        <f t="shared" ca="1" si="28"/>
        <v>0</v>
      </c>
      <c r="AF33" s="80">
        <f t="shared" ca="1" si="14"/>
        <v>0</v>
      </c>
      <c r="AH33" s="13">
        <f>'CALIBRATION GUIDE'!B39</f>
        <v>26</v>
      </c>
      <c r="AI33" s="13" t="str">
        <f>'CALIBRATION GUIDE'!C39</f>
        <v>I(CT)</v>
      </c>
      <c r="AJ33" s="13" t="str">
        <f>IF('CALIBRATION GUIDE'!C39="V"," ",    IF(ISNA(MATCH(AH33,CONFIGURATOR!$D$21:$D$51,0))=TRUE," ",MATCH(AH33,CONFIGURATOR!$D$21:$D$51,0)-1)       )</f>
        <v xml:space="preserve"> </v>
      </c>
      <c r="AK33" s="13" t="str" cm="1">
        <f t="array" aca="1" ref="AK33" ca="1">IF(AJ33=" "," ",INDIRECT(ADDRESS(103+AJ33,31)))</f>
        <v xml:space="preserve"> </v>
      </c>
      <c r="AL33" s="13" t="str" cm="1">
        <f t="array" aca="1" ref="AL33" ca="1">IF(AJ33=" "," ",INDIRECT(ADDRESS(135+AJ33,31)))</f>
        <v xml:space="preserve"> </v>
      </c>
      <c r="AM33" s="13" t="str">
        <f t="shared" si="22"/>
        <v xml:space="preserve"> </v>
      </c>
      <c r="AN33" s="13">
        <f t="shared" ca="1" si="15"/>
        <v>0</v>
      </c>
      <c r="AO33" s="13">
        <f>'CALIBRATION GUIDE'!D39</f>
        <v>30</v>
      </c>
      <c r="AP33" s="13">
        <f t="shared" ca="1" si="16"/>
        <v>1</v>
      </c>
      <c r="AQ33" s="13">
        <f t="shared" ca="1" si="17"/>
        <v>1</v>
      </c>
      <c r="AR33" s="13">
        <f t="shared" ca="1" si="18"/>
        <v>1</v>
      </c>
      <c r="AS33" s="13">
        <f t="shared" si="20"/>
        <v>164</v>
      </c>
      <c r="AT33" s="13" t="str">
        <f>IF('CALIBRATION GUIDE'!E39="Y",RIGHT(DEC2HEX(INT(AR33*2^29+0.5),8),8)," ")</f>
        <v xml:space="preserve"> </v>
      </c>
      <c r="AU33" s="13">
        <f t="shared" ca="1" si="10"/>
        <v>0</v>
      </c>
      <c r="AV33" s="110">
        <f>IF(AM33=" ",0,AM33-'CALIBRATION GUIDE'!$C$8)</f>
        <v>0</v>
      </c>
      <c r="AW33" s="13">
        <f>IF(AV33=0, 0, AV33*60/'CALIBRATION GUIDE'!$C$7)</f>
        <v>0</v>
      </c>
      <c r="AX33" s="13">
        <f t="shared" ca="1" si="19"/>
        <v>0</v>
      </c>
      <c r="AY33" s="13">
        <f t="shared" si="21"/>
        <v>196</v>
      </c>
      <c r="AZ33" t="str">
        <f>IF('CALIBRATION GUIDE'!E39="Y",IF(AI33="V",0,RIGHT(DEC2HEX((AX33)/180*2^31),8)), " ")</f>
        <v xml:space="preserve"> </v>
      </c>
    </row>
    <row r="34" spans="1:52">
      <c r="A34" s="79" t="str">
        <f>'CALIBRATION GUIDE'!B85</f>
        <v>0                  0                  0                  0</v>
      </c>
      <c r="D34" s="88">
        <f t="shared" si="23"/>
        <v>39</v>
      </c>
      <c r="E34" s="88">
        <v>4</v>
      </c>
      <c r="G34" s="88" t="str">
        <f t="shared" ca="1" si="11"/>
        <v>027</v>
      </c>
      <c r="H34" s="90" t="str">
        <f t="shared" ca="1" si="0"/>
        <v>PULSE_CTRL2</v>
      </c>
      <c r="I34" s="91" t="str">
        <f t="shared" ca="1" si="1"/>
        <v>110401D0</v>
      </c>
      <c r="J34" s="92" t="s">
        <v>7</v>
      </c>
      <c r="K34" s="92">
        <f t="shared" ca="1" si="29"/>
        <v>285475280</v>
      </c>
      <c r="L34" s="80"/>
      <c r="N34" s="88">
        <f t="shared" si="24"/>
        <v>182</v>
      </c>
      <c r="O34" s="88">
        <v>4</v>
      </c>
      <c r="Q34" s="88" t="str">
        <f t="shared" ca="1" si="12"/>
        <v>027</v>
      </c>
      <c r="R34" s="90" t="str">
        <f t="shared" ca="1" si="3"/>
        <v>FREQ_CH15</v>
      </c>
      <c r="S34" s="91" t="str">
        <f t="shared" ca="1" si="4"/>
        <v>0</v>
      </c>
      <c r="T34" s="92" t="s">
        <v>19</v>
      </c>
      <c r="U34" s="92">
        <f t="shared" ca="1" si="30"/>
        <v>0</v>
      </c>
      <c r="V34" s="80"/>
      <c r="X34" s="88">
        <f t="shared" si="25"/>
        <v>245</v>
      </c>
      <c r="Y34" s="88">
        <v>4</v>
      </c>
      <c r="AA34" s="88" t="str">
        <f t="shared" ca="1" si="13"/>
        <v>027</v>
      </c>
      <c r="AB34" s="90" t="str">
        <f t="shared" ca="1" si="6"/>
        <v>CH27</v>
      </c>
      <c r="AC34" s="91" t="str">
        <f t="shared" ca="1" si="7"/>
        <v>0</v>
      </c>
      <c r="AD34" s="92" t="s">
        <v>20</v>
      </c>
      <c r="AE34" s="92">
        <f t="shared" ca="1" si="28"/>
        <v>0</v>
      </c>
      <c r="AF34" s="80">
        <f t="shared" ca="1" si="14"/>
        <v>0</v>
      </c>
      <c r="AH34" s="13">
        <f>'CALIBRATION GUIDE'!B40</f>
        <v>27</v>
      </c>
      <c r="AI34" s="13" t="str">
        <f>'CALIBRATION GUIDE'!C40</f>
        <v>I(CT)</v>
      </c>
      <c r="AJ34" s="13" t="str">
        <f>IF('CALIBRATION GUIDE'!C40="V"," ",    IF(ISNA(MATCH(AH34,CONFIGURATOR!$D$21:$D$51,0))=TRUE," ",MATCH(AH34,CONFIGURATOR!$D$21:$D$51,0)-1)       )</f>
        <v xml:space="preserve"> </v>
      </c>
      <c r="AK34" s="13" t="str" cm="1">
        <f t="array" aca="1" ref="AK34" ca="1">IF(AJ34=" "," ",INDIRECT(ADDRESS(103+AJ34,31)))</f>
        <v xml:space="preserve"> </v>
      </c>
      <c r="AL34" s="13" t="str" cm="1">
        <f t="array" aca="1" ref="AL34" ca="1">IF(AJ34=" "," ",INDIRECT(ADDRESS(135+AJ34,31)))</f>
        <v xml:space="preserve"> </v>
      </c>
      <c r="AM34" s="13" t="str">
        <f t="shared" si="22"/>
        <v xml:space="preserve"> </v>
      </c>
      <c r="AN34" s="13">
        <f t="shared" ca="1" si="15"/>
        <v>0</v>
      </c>
      <c r="AO34" s="13">
        <f>'CALIBRATION GUIDE'!D40</f>
        <v>30</v>
      </c>
      <c r="AP34" s="13">
        <f t="shared" ca="1" si="16"/>
        <v>1</v>
      </c>
      <c r="AQ34" s="13">
        <f t="shared" ca="1" si="17"/>
        <v>1</v>
      </c>
      <c r="AR34" s="13">
        <f t="shared" ca="1" si="18"/>
        <v>1</v>
      </c>
      <c r="AS34" s="13">
        <f t="shared" si="20"/>
        <v>165</v>
      </c>
      <c r="AT34" s="13" t="str">
        <f>IF('CALIBRATION GUIDE'!E40="Y",RIGHT(DEC2HEX(INT(AR34*2^29+0.5),8),8)," ")</f>
        <v xml:space="preserve"> </v>
      </c>
      <c r="AU34" s="13">
        <f t="shared" ca="1" si="10"/>
        <v>0</v>
      </c>
      <c r="AV34" s="110">
        <f>IF(AM34=" ",0,AM34-'CALIBRATION GUIDE'!$C$8)</f>
        <v>0</v>
      </c>
      <c r="AW34" s="13">
        <f>IF(AV34=0, 0, AV34*60/'CALIBRATION GUIDE'!$C$7)</f>
        <v>0</v>
      </c>
      <c r="AX34" s="13">
        <f t="shared" ca="1" si="19"/>
        <v>0</v>
      </c>
      <c r="AY34" s="13">
        <f t="shared" si="21"/>
        <v>197</v>
      </c>
      <c r="AZ34" t="str">
        <f>IF('CALIBRATION GUIDE'!E40="Y",IF(AI34="V",0,RIGHT(DEC2HEX((AX34)/180*2^31),8)), " ")</f>
        <v xml:space="preserve"> </v>
      </c>
    </row>
    <row r="35" spans="1:52">
      <c r="A35" s="79" t="str">
        <f>'CALIBRATION GUIDE'!B86</f>
        <v>016 PH_SRC_24_25   017 PH_SRC_26_27   018 PH_SRC_28_29   019 PH_SRC_30</v>
      </c>
      <c r="D35" s="88">
        <f t="shared" si="23"/>
        <v>41</v>
      </c>
      <c r="E35" s="88">
        <v>1</v>
      </c>
      <c r="G35" s="88" t="str">
        <f t="shared" ca="1" si="11"/>
        <v>028</v>
      </c>
      <c r="H35" s="90" t="str">
        <f t="shared" ca="1" si="0"/>
        <v>RESERVED_C028</v>
      </c>
      <c r="I35" s="91" t="str">
        <f t="shared" ca="1" si="1"/>
        <v>0</v>
      </c>
      <c r="J35" s="92" t="s">
        <v>7</v>
      </c>
      <c r="K35" s="92">
        <f t="shared" ca="1" si="29"/>
        <v>0</v>
      </c>
      <c r="L35" s="80"/>
      <c r="N35" s="88">
        <f t="shared" si="24"/>
        <v>184</v>
      </c>
      <c r="O35" s="88">
        <v>1</v>
      </c>
      <c r="Q35" s="88" t="str">
        <f t="shared" ca="1" si="12"/>
        <v>028</v>
      </c>
      <c r="R35" s="90" t="str">
        <f t="shared" ca="1" si="3"/>
        <v>FREQ_CH16</v>
      </c>
      <c r="S35" s="91" t="str">
        <f t="shared" ca="1" si="4"/>
        <v>0</v>
      </c>
      <c r="T35" s="92" t="s">
        <v>19</v>
      </c>
      <c r="U35" s="92">
        <f t="shared" ca="1" si="30"/>
        <v>0</v>
      </c>
      <c r="V35" s="80"/>
      <c r="X35" s="88">
        <f t="shared" si="25"/>
        <v>247</v>
      </c>
      <c r="Y35" s="88">
        <v>1</v>
      </c>
      <c r="AA35" s="88" t="str">
        <f t="shared" ca="1" si="13"/>
        <v>028</v>
      </c>
      <c r="AB35" s="90" t="str">
        <f t="shared" ca="1" si="6"/>
        <v>CH28</v>
      </c>
      <c r="AC35" s="91" t="str">
        <f t="shared" ca="1" si="7"/>
        <v>0</v>
      </c>
      <c r="AD35" s="92" t="s">
        <v>20</v>
      </c>
      <c r="AE35" s="92">
        <f t="shared" ca="1" si="28"/>
        <v>0</v>
      </c>
      <c r="AF35" s="80">
        <f t="shared" ca="1" si="14"/>
        <v>0</v>
      </c>
      <c r="AH35" s="13">
        <f>'CALIBRATION GUIDE'!B41</f>
        <v>28</v>
      </c>
      <c r="AI35" s="13" t="str">
        <f>'CALIBRATION GUIDE'!C41</f>
        <v>I(CT)</v>
      </c>
      <c r="AJ35" s="13" t="str">
        <f>IF('CALIBRATION GUIDE'!C41="V"," ",    IF(ISNA(MATCH(AH35,CONFIGURATOR!$D$21:$D$51,0))=TRUE," ",MATCH(AH35,CONFIGURATOR!$D$21:$D$51,0)-1)       )</f>
        <v xml:space="preserve"> </v>
      </c>
      <c r="AK35" s="13" t="str" cm="1">
        <f t="array" aca="1" ref="AK35" ca="1">IF(AJ35=" "," ",INDIRECT(ADDRESS(103+AJ35,31)))</f>
        <v xml:space="preserve"> </v>
      </c>
      <c r="AL35" s="13" t="str" cm="1">
        <f t="array" aca="1" ref="AL35" ca="1">IF(AJ35=" "," ",INDIRECT(ADDRESS(135+AJ35,31)))</f>
        <v xml:space="preserve"> </v>
      </c>
      <c r="AM35" s="13" t="str">
        <f t="shared" si="22"/>
        <v xml:space="preserve"> </v>
      </c>
      <c r="AN35" s="13">
        <f t="shared" ca="1" si="15"/>
        <v>0</v>
      </c>
      <c r="AO35" s="13">
        <f>'CALIBRATION GUIDE'!D41</f>
        <v>30</v>
      </c>
      <c r="AP35" s="13">
        <f t="shared" ca="1" si="16"/>
        <v>1</v>
      </c>
      <c r="AQ35" s="13">
        <f t="shared" ca="1" si="17"/>
        <v>1</v>
      </c>
      <c r="AR35" s="13">
        <f t="shared" ca="1" si="18"/>
        <v>1</v>
      </c>
      <c r="AS35" s="13">
        <f t="shared" si="20"/>
        <v>166</v>
      </c>
      <c r="AT35" s="13" t="str">
        <f>IF('CALIBRATION GUIDE'!E41="Y",RIGHT(DEC2HEX(INT(AR35*2^29+0.5),8),8)," ")</f>
        <v xml:space="preserve"> </v>
      </c>
      <c r="AU35" s="13">
        <f t="shared" ca="1" si="10"/>
        <v>0</v>
      </c>
      <c r="AV35" s="110">
        <f>IF(AM35=" ",0,AM35-'CALIBRATION GUIDE'!$C$8)</f>
        <v>0</v>
      </c>
      <c r="AW35" s="13">
        <f>IF(AV35=0, 0, AV35*60/'CALIBRATION GUIDE'!$C$7)</f>
        <v>0</v>
      </c>
      <c r="AX35" s="13">
        <f t="shared" ca="1" si="19"/>
        <v>0</v>
      </c>
      <c r="AY35" s="13">
        <f t="shared" si="21"/>
        <v>198</v>
      </c>
      <c r="AZ35" t="str">
        <f>IF('CALIBRATION GUIDE'!E41="Y",IF(AI35="V",0,RIGHT(DEC2HEX((AX35)/180*2^31),8)), " ")</f>
        <v xml:space="preserve"> </v>
      </c>
    </row>
    <row r="36" spans="1:52">
      <c r="A36" s="79" t="str">
        <f>'CALIBRATION GUIDE'!B87</f>
        <v>0                  0                  0                  0</v>
      </c>
      <c r="D36" s="88">
        <f t="shared" si="23"/>
        <v>41</v>
      </c>
      <c r="E36" s="88">
        <v>2</v>
      </c>
      <c r="G36" s="88" t="str">
        <f t="shared" ca="1" si="11"/>
        <v>029</v>
      </c>
      <c r="H36" s="90" t="str">
        <f t="shared" ca="1" si="0"/>
        <v>PULSE_CONT_PW</v>
      </c>
      <c r="I36" s="91" t="str">
        <f t="shared" ca="1" si="1"/>
        <v>7</v>
      </c>
      <c r="J36" s="92" t="s">
        <v>7</v>
      </c>
      <c r="K36" s="92">
        <f t="shared" ca="1" si="29"/>
        <v>7</v>
      </c>
      <c r="L36" s="80"/>
      <c r="N36" s="88">
        <f t="shared" si="24"/>
        <v>184</v>
      </c>
      <c r="O36" s="88">
        <v>2</v>
      </c>
      <c r="Q36" s="88" t="str">
        <f t="shared" ca="1" si="12"/>
        <v>029</v>
      </c>
      <c r="R36" s="90" t="str">
        <f t="shared" ca="1" si="3"/>
        <v>FREQ_CH17</v>
      </c>
      <c r="S36" s="91" t="str">
        <f t="shared" ca="1" si="4"/>
        <v>0</v>
      </c>
      <c r="T36" s="92" t="s">
        <v>19</v>
      </c>
      <c r="U36" s="92">
        <f t="shared" ca="1" si="30"/>
        <v>0</v>
      </c>
      <c r="V36" s="80"/>
      <c r="X36" s="88">
        <f t="shared" si="25"/>
        <v>247</v>
      </c>
      <c r="Y36" s="88">
        <v>2</v>
      </c>
      <c r="AA36" s="88" t="str">
        <f t="shared" ca="1" si="13"/>
        <v>029</v>
      </c>
      <c r="AB36" s="90" t="str">
        <f t="shared" ca="1" si="6"/>
        <v>CH29</v>
      </c>
      <c r="AC36" s="91" t="str">
        <f t="shared" ca="1" si="7"/>
        <v>0</v>
      </c>
      <c r="AD36" s="92" t="s">
        <v>20</v>
      </c>
      <c r="AE36" s="92">
        <f t="shared" ca="1" si="28"/>
        <v>0</v>
      </c>
      <c r="AF36" s="80">
        <f t="shared" ca="1" si="14"/>
        <v>0</v>
      </c>
      <c r="AH36" s="13">
        <f>'CALIBRATION GUIDE'!B42</f>
        <v>29</v>
      </c>
      <c r="AI36" s="13" t="str">
        <f>'CALIBRATION GUIDE'!C42</f>
        <v>I(CT)</v>
      </c>
      <c r="AJ36" s="13" t="str">
        <f>IF('CALIBRATION GUIDE'!C42="V"," ",    IF(ISNA(MATCH(AH36,CONFIGURATOR!$D$21:$D$51,0))=TRUE," ",MATCH(AH36,CONFIGURATOR!$D$21:$D$51,0)-1)       )</f>
        <v xml:space="preserve"> </v>
      </c>
      <c r="AK36" s="13" t="str" cm="1">
        <f t="array" aca="1" ref="AK36" ca="1">IF(AJ36=" "," ",INDIRECT(ADDRESS(103+AJ36,31)))</f>
        <v xml:space="preserve"> </v>
      </c>
      <c r="AL36" s="13" t="str" cm="1">
        <f t="array" aca="1" ref="AL36" ca="1">IF(AJ36=" "," ",INDIRECT(ADDRESS(135+AJ36,31)))</f>
        <v xml:space="preserve"> </v>
      </c>
      <c r="AM36" s="13" t="str">
        <f t="shared" si="22"/>
        <v xml:space="preserve"> </v>
      </c>
      <c r="AN36" s="13">
        <f t="shared" ca="1" si="15"/>
        <v>0</v>
      </c>
      <c r="AO36" s="13">
        <f>'CALIBRATION GUIDE'!D42</f>
        <v>30</v>
      </c>
      <c r="AP36" s="13">
        <f t="shared" ca="1" si="16"/>
        <v>1</v>
      </c>
      <c r="AQ36" s="13">
        <f t="shared" ca="1" si="17"/>
        <v>1</v>
      </c>
      <c r="AR36" s="13">
        <f t="shared" ca="1" si="18"/>
        <v>1</v>
      </c>
      <c r="AS36" s="13">
        <f t="shared" si="20"/>
        <v>167</v>
      </c>
      <c r="AT36" s="13" t="str">
        <f>IF('CALIBRATION GUIDE'!E42="Y",RIGHT(DEC2HEX(INT(AR36*2^29+0.5),8),8)," ")</f>
        <v xml:space="preserve"> </v>
      </c>
      <c r="AU36" s="13">
        <f t="shared" ca="1" si="10"/>
        <v>0</v>
      </c>
      <c r="AV36" s="110">
        <f>IF(AM36=" ",0,AM36-'CALIBRATION GUIDE'!$C$8)</f>
        <v>0</v>
      </c>
      <c r="AW36" s="13">
        <f>IF(AV36=0, 0, AV36*60/'CALIBRATION GUIDE'!$C$7)</f>
        <v>0</v>
      </c>
      <c r="AX36" s="13">
        <f t="shared" ca="1" si="19"/>
        <v>0</v>
      </c>
      <c r="AY36" s="13">
        <f t="shared" si="21"/>
        <v>199</v>
      </c>
      <c r="AZ36" t="str">
        <f>IF('CALIBRATION GUIDE'!E42="Y",IF(AI36="V",0,RIGHT(DEC2HEX((AX36)/180*2^31),8)), " ")</f>
        <v xml:space="preserve"> </v>
      </c>
    </row>
    <row r="37" spans="1:52">
      <c r="A37" s="79" t="str">
        <f>'CALIBRATION GUIDE'!B88</f>
        <v>020 METER_TYPE     021 SENSOR_TYPE_0  022 SENSOR_TYPE_1  023 M</v>
      </c>
      <c r="D37" s="88">
        <f t="shared" si="23"/>
        <v>41</v>
      </c>
      <c r="E37" s="88">
        <v>3</v>
      </c>
      <c r="G37" s="88" t="str">
        <f t="shared" ca="1" si="11"/>
        <v>030</v>
      </c>
      <c r="H37" s="90" t="str">
        <f t="shared" ca="1" si="0"/>
        <v>PULSE_CONT_I</v>
      </c>
      <c r="I37" s="91" t="str">
        <f t="shared" ca="1" si="1"/>
        <v>7</v>
      </c>
      <c r="J37" s="92" t="s">
        <v>7</v>
      </c>
      <c r="K37" s="92">
        <f t="shared" ca="1" si="29"/>
        <v>7</v>
      </c>
      <c r="L37" s="80"/>
      <c r="N37" s="88">
        <f t="shared" si="24"/>
        <v>184</v>
      </c>
      <c r="O37" s="88">
        <v>3</v>
      </c>
      <c r="Q37" s="88" t="str">
        <f t="shared" ca="1" si="12"/>
        <v>020</v>
      </c>
      <c r="R37" s="90" t="str">
        <f t="shared" ca="1" si="3"/>
        <v>FREQ_CH18</v>
      </c>
      <c r="S37" s="91" t="str">
        <f t="shared" ca="1" si="4"/>
        <v>0</v>
      </c>
      <c r="T37" s="92" t="s">
        <v>19</v>
      </c>
      <c r="U37" s="92">
        <f t="shared" ca="1" si="30"/>
        <v>0</v>
      </c>
      <c r="V37" s="80"/>
      <c r="X37" s="88">
        <f t="shared" si="25"/>
        <v>247</v>
      </c>
      <c r="Y37" s="88">
        <v>3</v>
      </c>
      <c r="AA37" s="88" t="str">
        <f t="shared" ca="1" si="13"/>
        <v>030</v>
      </c>
      <c r="AB37" s="90" t="str">
        <f t="shared" ca="1" si="6"/>
        <v>CH30</v>
      </c>
      <c r="AC37" s="91" t="str">
        <f t="shared" ca="1" si="7"/>
        <v>0</v>
      </c>
      <c r="AD37" s="92" t="s">
        <v>20</v>
      </c>
      <c r="AE37" s="92">
        <f t="shared" ca="1" si="28"/>
        <v>0</v>
      </c>
      <c r="AF37" s="80">
        <f t="shared" ca="1" si="14"/>
        <v>0</v>
      </c>
      <c r="AH37" s="13">
        <f>'CALIBRATION GUIDE'!B43</f>
        <v>30</v>
      </c>
      <c r="AI37" s="13" t="str">
        <f>'CALIBRATION GUIDE'!C43</f>
        <v>I(CT)</v>
      </c>
      <c r="AJ37" s="13" t="str">
        <f>IF('CALIBRATION GUIDE'!C43="V"," ",    IF(ISNA(MATCH(AH37,CONFIGURATOR!$D$21:$D$51,0))=TRUE," ",MATCH(AH37,CONFIGURATOR!$D$21:$D$51,0)-1)       )</f>
        <v xml:space="preserve"> </v>
      </c>
      <c r="AK37" s="13" t="str" cm="1">
        <f t="array" aca="1" ref="AK37" ca="1">IF(AJ37=" "," ",INDIRECT(ADDRESS(103+AJ37,31)))</f>
        <v xml:space="preserve"> </v>
      </c>
      <c r="AL37" s="13" t="str" cm="1">
        <f t="array" aca="1" ref="AL37" ca="1">IF(AJ37=" "," ",INDIRECT(ADDRESS(135+AJ37,31)))</f>
        <v xml:space="preserve"> </v>
      </c>
      <c r="AM37" s="13" t="str">
        <f t="shared" si="22"/>
        <v xml:space="preserve"> </v>
      </c>
      <c r="AN37" s="13">
        <f t="shared" ca="1" si="15"/>
        <v>0</v>
      </c>
      <c r="AO37" s="13">
        <f>'CALIBRATION GUIDE'!D43</f>
        <v>30</v>
      </c>
      <c r="AP37" s="13">
        <f t="shared" ca="1" si="16"/>
        <v>1</v>
      </c>
      <c r="AQ37" s="13">
        <f t="shared" ca="1" si="17"/>
        <v>1</v>
      </c>
      <c r="AR37" s="13">
        <f t="shared" ca="1" si="18"/>
        <v>1</v>
      </c>
      <c r="AS37" s="13">
        <f t="shared" si="20"/>
        <v>168</v>
      </c>
      <c r="AT37" s="13" t="str">
        <f>IF('CALIBRATION GUIDE'!E43="Y",RIGHT(DEC2HEX(INT(AR37*2^29+0.5),8),8)," ")</f>
        <v xml:space="preserve"> </v>
      </c>
      <c r="AU37" s="13">
        <f t="shared" ca="1" si="10"/>
        <v>0</v>
      </c>
      <c r="AV37" s="110">
        <f>IF(AM37=" ",0,AM37-'CALIBRATION GUIDE'!$C$8)</f>
        <v>0</v>
      </c>
      <c r="AW37" s="13">
        <f>IF(AV37=0, 0, AV37*60/'CALIBRATION GUIDE'!$C$7)</f>
        <v>0</v>
      </c>
      <c r="AX37" s="13">
        <f t="shared" ca="1" si="19"/>
        <v>0</v>
      </c>
      <c r="AY37" s="13">
        <f t="shared" si="21"/>
        <v>200</v>
      </c>
      <c r="AZ37" t="str">
        <f>IF('CALIBRATION GUIDE'!E43="Y",IF(AI37="V",0,RIGHT(DEC2HEX((AX37)/180*2^31),8)), " ")</f>
        <v xml:space="preserve"> </v>
      </c>
    </row>
    <row r="38" spans="1:52">
      <c r="A38" s="79" t="str">
        <f>'CALIBRATION GUIDE'!B89</f>
        <v>CCC                CCC03F             0                  0</v>
      </c>
      <c r="D38" s="88">
        <f t="shared" si="23"/>
        <v>41</v>
      </c>
      <c r="E38" s="88">
        <v>4</v>
      </c>
      <c r="G38" s="88" t="str">
        <f t="shared" ca="1" si="11"/>
        <v>031</v>
      </c>
      <c r="H38" s="90" t="str">
        <f t="shared" ca="1" si="0"/>
        <v>RESERVED_C031</v>
      </c>
      <c r="I38" s="91" t="str">
        <f t="shared" ca="1" si="1"/>
        <v>0</v>
      </c>
      <c r="J38" s="92" t="s">
        <v>7</v>
      </c>
      <c r="K38" s="92">
        <f t="shared" ca="1" si="29"/>
        <v>0</v>
      </c>
      <c r="L38" s="80"/>
      <c r="N38" s="88">
        <f t="shared" si="24"/>
        <v>184</v>
      </c>
      <c r="O38" s="88">
        <v>4</v>
      </c>
      <c r="Q38" s="88" t="str">
        <f t="shared" ca="1" si="12"/>
        <v>031</v>
      </c>
      <c r="R38" s="90" t="str">
        <f t="shared" ca="1" si="3"/>
        <v>FREQ_CH19</v>
      </c>
      <c r="S38" s="91" t="str">
        <f t="shared" ca="1" si="4"/>
        <v>0</v>
      </c>
      <c r="T38" s="92" t="s">
        <v>19</v>
      </c>
      <c r="U38" s="92">
        <f t="shared" ca="1" si="30"/>
        <v>0</v>
      </c>
      <c r="V38" s="80"/>
      <c r="X38" s="88">
        <f t="shared" si="25"/>
        <v>247</v>
      </c>
      <c r="Y38" s="88">
        <v>4</v>
      </c>
      <c r="AA38" s="88" t="str">
        <f t="shared" ca="1" si="13"/>
        <v>031</v>
      </c>
      <c r="AB38" s="90" t="str">
        <f t="shared" ca="1" si="6"/>
        <v>CH31</v>
      </c>
      <c r="AC38" s="91" t="str">
        <f t="shared" ca="1" si="7"/>
        <v>0</v>
      </c>
      <c r="AD38" s="92" t="s">
        <v>20</v>
      </c>
      <c r="AE38" s="92">
        <f t="shared" ca="1" si="28"/>
        <v>0</v>
      </c>
      <c r="AF38" s="80">
        <f t="shared" ca="1" si="14"/>
        <v>0</v>
      </c>
      <c r="AH38" s="13">
        <f>'CALIBRATION GUIDE'!B44</f>
        <v>31</v>
      </c>
      <c r="AI38" s="13" t="str">
        <f>'CALIBRATION GUIDE'!C44</f>
        <v>I(CT)</v>
      </c>
      <c r="AJ38" s="13" t="str">
        <f>IF('CALIBRATION GUIDE'!C44="V"," ",    IF(ISNA(MATCH(AH38,CONFIGURATOR!$D$21:$D$51,0))=TRUE," ",MATCH(AH38,CONFIGURATOR!$D$21:$D$51,0)-1)       )</f>
        <v xml:space="preserve"> </v>
      </c>
      <c r="AK38" s="13" t="str" cm="1">
        <f t="array" aca="1" ref="AK38" ca="1">IF(AJ38=" "," ",INDIRECT(ADDRESS(103+AJ38,31)))</f>
        <v xml:space="preserve"> </v>
      </c>
      <c r="AL38" s="13" t="str" cm="1">
        <f t="array" aca="1" ref="AL38" ca="1">IF(AJ38=" "," ",INDIRECT(ADDRESS(135+AJ38,31)))</f>
        <v xml:space="preserve"> </v>
      </c>
      <c r="AM38" s="13" t="str">
        <f t="shared" si="22"/>
        <v xml:space="preserve"> </v>
      </c>
      <c r="AN38" s="13">
        <f t="shared" ca="1" si="15"/>
        <v>0</v>
      </c>
      <c r="AO38" s="13">
        <f>'CALIBRATION GUIDE'!D44</f>
        <v>30</v>
      </c>
      <c r="AP38" s="13">
        <f t="shared" ca="1" si="16"/>
        <v>1</v>
      </c>
      <c r="AQ38" s="13">
        <f t="shared" ca="1" si="17"/>
        <v>1</v>
      </c>
      <c r="AR38" s="13">
        <f t="shared" ca="1" si="18"/>
        <v>1</v>
      </c>
      <c r="AS38" s="13">
        <f t="shared" si="20"/>
        <v>169</v>
      </c>
      <c r="AT38" s="13" t="str">
        <f>IF('CALIBRATION GUIDE'!E44="Y",RIGHT(DEC2HEX(INT(AR38*2^29+0.5),8),8)," ")</f>
        <v xml:space="preserve"> </v>
      </c>
      <c r="AU38" s="13">
        <f t="shared" ca="1" si="10"/>
        <v>0</v>
      </c>
      <c r="AV38" s="110">
        <f>IF(AM38=" ",0,AM38-'CALIBRATION GUIDE'!$C$8)</f>
        <v>0</v>
      </c>
      <c r="AW38" s="13">
        <f>IF(AV38=0, 0, AV38*60/'CALIBRATION GUIDE'!$C$7)</f>
        <v>0</v>
      </c>
      <c r="AX38" s="13">
        <f t="shared" ca="1" si="19"/>
        <v>0</v>
      </c>
      <c r="AY38" s="13">
        <f t="shared" si="21"/>
        <v>201</v>
      </c>
      <c r="AZ38" t="str">
        <f>IF('CALIBRATION GUIDE'!E44="Y",IF(AI38="V",0,RIGHT(DEC2HEX((AX38)/180*2^31),8)), " ")</f>
        <v xml:space="preserve"> </v>
      </c>
    </row>
    <row r="39" spans="1:52">
      <c r="A39" s="79" t="str">
        <f>'CALIBRATION GUIDE'!B90</f>
        <v>024 N_MAX          025 PULSE_CTRL0    026 PULSE_CTRL1    027 PULSE_CTRL2</v>
      </c>
      <c r="D39" s="88">
        <f t="shared" si="23"/>
        <v>43</v>
      </c>
      <c r="E39" s="88">
        <v>1</v>
      </c>
      <c r="G39" s="88" t="str">
        <f t="shared" ca="1" si="11"/>
        <v>032</v>
      </c>
      <c r="H39" s="90" t="str">
        <f t="shared" ca="1" si="0"/>
        <v>P_K_T</v>
      </c>
      <c r="I39" s="91" t="str">
        <f t="shared" ca="1" si="1"/>
        <v>500000</v>
      </c>
      <c r="J39" s="92" t="s">
        <v>8</v>
      </c>
      <c r="K39" s="92">
        <f t="shared" ca="1" si="29"/>
        <v>0.3125</v>
      </c>
      <c r="L39" s="80"/>
      <c r="N39" s="88">
        <f t="shared" si="24"/>
        <v>186</v>
      </c>
      <c r="O39" s="88">
        <v>1</v>
      </c>
      <c r="Q39" s="88" t="str">
        <f t="shared" ca="1" si="12"/>
        <v>032</v>
      </c>
      <c r="R39" s="90" t="str">
        <f t="shared" ca="1" si="3"/>
        <v>FREQ_CH20</v>
      </c>
      <c r="S39" s="91" t="str">
        <f t="shared" ca="1" si="4"/>
        <v>0</v>
      </c>
      <c r="T39" s="92" t="s">
        <v>19</v>
      </c>
      <c r="U39" s="92">
        <f t="shared" ca="1" si="30"/>
        <v>0</v>
      </c>
      <c r="V39" s="80"/>
      <c r="X39" s="88">
        <f t="shared" si="25"/>
        <v>249</v>
      </c>
      <c r="Y39" s="88">
        <v>1</v>
      </c>
      <c r="AA39" s="88" t="str">
        <f t="shared" ca="1" si="13"/>
        <v>032</v>
      </c>
      <c r="AB39" s="90" t="str">
        <f t="shared" ca="1" si="6"/>
        <v>CH0_F</v>
      </c>
      <c r="AC39" s="91" t="str">
        <f t="shared" ca="1" si="7"/>
        <v>43E29228F07C</v>
      </c>
      <c r="AD39" s="92" t="s">
        <v>20</v>
      </c>
      <c r="AE39" s="92">
        <f t="shared" ca="1" si="28"/>
        <v>67.885042723381048</v>
      </c>
      <c r="AF39" s="80">
        <f ca="1">SQRT(AE39/$U$16)*K113</f>
        <v>215.08202931697642</v>
      </c>
      <c r="AV39" s="97"/>
    </row>
    <row r="40" spans="1:52">
      <c r="A40" s="79" t="str">
        <f>'CALIBRATION GUIDE'!B91</f>
        <v>1130               810001D0           810201D0           110401D0</v>
      </c>
      <c r="D40" s="88">
        <f t="shared" si="23"/>
        <v>43</v>
      </c>
      <c r="E40" s="88">
        <v>2</v>
      </c>
      <c r="G40" s="88" t="str">
        <f t="shared" ca="1" si="11"/>
        <v>033</v>
      </c>
      <c r="H40" s="90" t="str">
        <f t="shared" ca="1" si="0"/>
        <v>Q_K_T</v>
      </c>
      <c r="I40" s="91" t="str">
        <f t="shared" ca="1" si="1"/>
        <v>500000</v>
      </c>
      <c r="J40" s="92" t="s">
        <v>8</v>
      </c>
      <c r="K40" s="92">
        <f t="shared" ca="1" si="29"/>
        <v>0.3125</v>
      </c>
      <c r="L40" s="80"/>
      <c r="N40" s="88">
        <f t="shared" si="24"/>
        <v>186</v>
      </c>
      <c r="O40" s="88">
        <v>2</v>
      </c>
      <c r="Q40" s="88" t="str">
        <f t="shared" ca="1" si="12"/>
        <v>033</v>
      </c>
      <c r="R40" s="90" t="str">
        <f t="shared" ca="1" si="3"/>
        <v>FREQ_CH21</v>
      </c>
      <c r="S40" s="91" t="str">
        <f t="shared" ca="1" si="4"/>
        <v>0</v>
      </c>
      <c r="T40" s="92" t="s">
        <v>19</v>
      </c>
      <c r="U40" s="92">
        <f t="shared" ca="1" si="30"/>
        <v>0</v>
      </c>
      <c r="V40" s="80"/>
      <c r="X40" s="88">
        <f t="shared" si="25"/>
        <v>249</v>
      </c>
      <c r="Y40" s="88">
        <v>2</v>
      </c>
      <c r="AA40" s="88" t="str">
        <f t="shared" ca="1" si="13"/>
        <v>033</v>
      </c>
      <c r="AB40" s="90" t="str">
        <f t="shared" ca="1" si="6"/>
        <v>CH1_F</v>
      </c>
      <c r="AC40" s="91" t="str">
        <f t="shared" ca="1" si="7"/>
        <v>43F7F323F2C8</v>
      </c>
      <c r="AD40" s="92" t="s">
        <v>20</v>
      </c>
      <c r="AE40" s="92">
        <f t="shared" ca="1" si="28"/>
        <v>67.968553778431669</v>
      </c>
      <c r="AF40" s="80">
        <f t="shared" ref="AF40:AF70" ca="1" si="31">SQRT(AE40/$U$16)*K114</f>
        <v>215.21428382997885</v>
      </c>
      <c r="AV40" s="97"/>
    </row>
    <row r="41" spans="1:52">
      <c r="A41" s="79" t="str">
        <f>'CALIBRATION GUIDE'!B92</f>
        <v>028 RESERVED_C028  029 PULSE_CONT_PW  030 PULSE_CONT_I   031 RESERVED_C031</v>
      </c>
      <c r="D41" s="88">
        <f t="shared" si="23"/>
        <v>43</v>
      </c>
      <c r="E41" s="88">
        <v>3</v>
      </c>
      <c r="G41" s="88" t="str">
        <f t="shared" ca="1" si="11"/>
        <v>034</v>
      </c>
      <c r="H41" s="90" t="str">
        <f t="shared" ca="1" si="0"/>
        <v>I_K_T</v>
      </c>
      <c r="I41" s="91" t="str">
        <f t="shared" ca="1" si="1"/>
        <v>500000</v>
      </c>
      <c r="J41" s="92" t="s">
        <v>8</v>
      </c>
      <c r="K41" s="92">
        <f t="shared" ca="1" si="29"/>
        <v>0.3125</v>
      </c>
      <c r="L41" s="80"/>
      <c r="N41" s="88">
        <f t="shared" si="24"/>
        <v>186</v>
      </c>
      <c r="O41" s="88">
        <v>3</v>
      </c>
      <c r="Q41" s="88" t="str">
        <f t="shared" ca="1" si="12"/>
        <v>034</v>
      </c>
      <c r="R41" s="90" t="str">
        <f t="shared" ca="1" si="3"/>
        <v>FREQ_CH22</v>
      </c>
      <c r="S41" s="91" t="str">
        <f t="shared" ca="1" si="4"/>
        <v>0</v>
      </c>
      <c r="T41" s="92" t="s">
        <v>19</v>
      </c>
      <c r="U41" s="92">
        <f t="shared" ca="1" si="30"/>
        <v>0</v>
      </c>
      <c r="V41" s="80"/>
      <c r="X41" s="88">
        <f t="shared" si="25"/>
        <v>249</v>
      </c>
      <c r="Y41" s="88">
        <v>3</v>
      </c>
      <c r="AA41" s="88" t="str">
        <f t="shared" ca="1" si="13"/>
        <v>034</v>
      </c>
      <c r="AB41" s="90" t="str">
        <f t="shared" ca="1" si="6"/>
        <v>CH2_F</v>
      </c>
      <c r="AC41" s="91" t="str">
        <f t="shared" ca="1" si="7"/>
        <v>43F8370A13E8</v>
      </c>
      <c r="AD41" s="92" t="s">
        <v>20</v>
      </c>
      <c r="AE41" s="92">
        <f t="shared" ca="1" si="28"/>
        <v>67.96958983407967</v>
      </c>
      <c r="AF41" s="80">
        <f t="shared" ca="1" si="31"/>
        <v>215.21592409678018</v>
      </c>
      <c r="AV41" s="97"/>
    </row>
    <row r="42" spans="1:52">
      <c r="A42" s="79" t="str">
        <f>'CALIBRATION GUIDE'!B93</f>
        <v>0                  7                  7                  0</v>
      </c>
      <c r="D42" s="88">
        <f t="shared" si="23"/>
        <v>43</v>
      </c>
      <c r="E42" s="88">
        <v>4</v>
      </c>
      <c r="G42" s="88" t="str">
        <f t="shared" ca="1" si="11"/>
        <v>035</v>
      </c>
      <c r="H42" s="90" t="str">
        <f t="shared" ca="1" si="0"/>
        <v>CREEP_THR_P</v>
      </c>
      <c r="I42" s="91" t="str">
        <f t="shared" ca="1" si="1"/>
        <v>2E9A</v>
      </c>
      <c r="J42" s="92" t="s">
        <v>9</v>
      </c>
      <c r="K42" s="92">
        <f t="shared" ca="1" si="29"/>
        <v>1.1110678315162659E-5</v>
      </c>
      <c r="L42" s="80"/>
      <c r="N42" s="88">
        <f t="shared" si="24"/>
        <v>186</v>
      </c>
      <c r="O42" s="88">
        <v>4</v>
      </c>
      <c r="Q42" s="88" t="str">
        <f t="shared" ca="1" si="12"/>
        <v>035</v>
      </c>
      <c r="R42" s="90" t="str">
        <f t="shared" ca="1" si="3"/>
        <v>FREQ_CH23</v>
      </c>
      <c r="S42" s="91" t="str">
        <f t="shared" ca="1" si="4"/>
        <v>0</v>
      </c>
      <c r="T42" s="92" t="s">
        <v>19</v>
      </c>
      <c r="U42" s="92">
        <f t="shared" ca="1" si="30"/>
        <v>0</v>
      </c>
      <c r="V42" s="80"/>
      <c r="X42" s="88">
        <f t="shared" si="25"/>
        <v>249</v>
      </c>
      <c r="Y42" s="88">
        <v>4</v>
      </c>
      <c r="AA42" s="88" t="str">
        <f t="shared" ca="1" si="13"/>
        <v>035</v>
      </c>
      <c r="AB42" s="90" t="str">
        <f t="shared" ca="1" si="6"/>
        <v>CH3_F</v>
      </c>
      <c r="AC42" s="91" t="str">
        <f t="shared" ca="1" si="7"/>
        <v>9D50E49E51A</v>
      </c>
      <c r="AD42" s="92" t="s">
        <v>20</v>
      </c>
      <c r="AE42" s="92">
        <f t="shared" ca="1" si="28"/>
        <v>9.8322492775278079</v>
      </c>
      <c r="AF42" s="80">
        <f t="shared" ca="1" si="31"/>
        <v>30.604239453656401</v>
      </c>
      <c r="AV42" s="97"/>
    </row>
    <row r="43" spans="1:52">
      <c r="A43" s="79" t="str">
        <f>'CALIBRATION GUIDE'!B94</f>
        <v>032 P_K_T          033 Q_K_T          034 I_K_T          035 CREEP_THR_P</v>
      </c>
      <c r="D43" s="88">
        <f t="shared" si="23"/>
        <v>45</v>
      </c>
      <c r="E43" s="88">
        <v>1</v>
      </c>
      <c r="G43" s="88" t="str">
        <f t="shared" ca="1" si="11"/>
        <v>036</v>
      </c>
      <c r="H43" s="90" t="str">
        <f t="shared" ca="1" si="0"/>
        <v>CREEP_THR_Q</v>
      </c>
      <c r="I43" s="91" t="str">
        <f t="shared" ca="1" si="1"/>
        <v>2E9A</v>
      </c>
      <c r="J43" s="92" t="s">
        <v>9</v>
      </c>
      <c r="K43" s="92">
        <f t="shared" ca="1" si="29"/>
        <v>1.1110678315162659E-5</v>
      </c>
      <c r="L43" s="80"/>
      <c r="N43" s="88">
        <f t="shared" si="24"/>
        <v>188</v>
      </c>
      <c r="O43" s="88">
        <v>1</v>
      </c>
      <c r="Q43" s="88" t="str">
        <f t="shared" ca="1" si="12"/>
        <v>036</v>
      </c>
      <c r="R43" s="90" t="str">
        <f t="shared" ca="1" si="3"/>
        <v>FREQ_CH24</v>
      </c>
      <c r="S43" s="91" t="str">
        <f t="shared" ca="1" si="4"/>
        <v>0</v>
      </c>
      <c r="T43" s="92" t="s">
        <v>19</v>
      </c>
      <c r="U43" s="92">
        <f t="shared" ca="1" si="30"/>
        <v>0</v>
      </c>
      <c r="V43" s="80"/>
      <c r="X43" s="88">
        <f t="shared" si="25"/>
        <v>251</v>
      </c>
      <c r="Y43" s="88">
        <v>1</v>
      </c>
      <c r="AA43" s="88" t="str">
        <f t="shared" ca="1" si="13"/>
        <v>036</v>
      </c>
      <c r="AB43" s="90" t="str">
        <f t="shared" ca="1" si="6"/>
        <v>CH4_F</v>
      </c>
      <c r="AC43" s="91" t="str">
        <f t="shared" ca="1" si="7"/>
        <v>9C73814166E</v>
      </c>
      <c r="AD43" s="92" t="s">
        <v>20</v>
      </c>
      <c r="AE43" s="92">
        <f t="shared" ca="1" si="28"/>
        <v>9.7781994395027141</v>
      </c>
      <c r="AF43" s="80">
        <f t="shared" ca="1" si="31"/>
        <v>30.520004721982421</v>
      </c>
      <c r="AV43" s="97"/>
    </row>
    <row r="44" spans="1:52">
      <c r="A44" s="79" t="str">
        <f>'CALIBRATION GUIDE'!B95</f>
        <v>500000             500000             500000             2E9A</v>
      </c>
      <c r="D44" s="88">
        <f t="shared" si="23"/>
        <v>45</v>
      </c>
      <c r="E44" s="88">
        <v>2</v>
      </c>
      <c r="G44" s="88" t="str">
        <f t="shared" ca="1" si="11"/>
        <v>037</v>
      </c>
      <c r="H44" s="90" t="str">
        <f t="shared" ca="1" si="0"/>
        <v>CREEP_THR_I</v>
      </c>
      <c r="I44" s="91" t="str">
        <f t="shared" ca="1" si="1"/>
        <v>212D</v>
      </c>
      <c r="J44" s="92" t="s">
        <v>10</v>
      </c>
      <c r="K44" s="92">
        <f t="shared" ca="1" si="29"/>
        <v>8.0995559692382813E-3</v>
      </c>
      <c r="L44" s="80"/>
      <c r="N44" s="88">
        <f t="shared" si="24"/>
        <v>188</v>
      </c>
      <c r="O44" s="88">
        <v>2</v>
      </c>
      <c r="Q44" s="88" t="str">
        <f t="shared" ca="1" si="12"/>
        <v>037</v>
      </c>
      <c r="R44" s="90" t="str">
        <f t="shared" ca="1" si="3"/>
        <v>FREQ_CH25</v>
      </c>
      <c r="S44" s="91" t="str">
        <f t="shared" ca="1" si="4"/>
        <v>0</v>
      </c>
      <c r="T44" s="92" t="s">
        <v>19</v>
      </c>
      <c r="U44" s="92">
        <f t="shared" ca="1" si="30"/>
        <v>0</v>
      </c>
      <c r="V44" s="80"/>
      <c r="X44" s="88">
        <f t="shared" si="25"/>
        <v>251</v>
      </c>
      <c r="Y44" s="88">
        <v>2</v>
      </c>
      <c r="AA44" s="88" t="str">
        <f t="shared" ca="1" si="13"/>
        <v>037</v>
      </c>
      <c r="AB44" s="90" t="str">
        <f t="shared" ca="1" si="6"/>
        <v>CH5_F</v>
      </c>
      <c r="AC44" s="91" t="str">
        <f t="shared" ca="1" si="7"/>
        <v>9C7BAEA2A69</v>
      </c>
      <c r="AD44" s="92" t="s">
        <v>20</v>
      </c>
      <c r="AE44" s="92">
        <f t="shared" ca="1" si="28"/>
        <v>9.7801958421268864</v>
      </c>
      <c r="AF44" s="80">
        <f t="shared" ca="1" si="31"/>
        <v>30.523120178370878</v>
      </c>
      <c r="AV44" s="97"/>
    </row>
    <row r="45" spans="1:52">
      <c r="A45" s="79" t="str">
        <f>'CALIBRATION GUIDE'!B96</f>
        <v>036 CREEP_THR_Q    037 CREEP_THR_I    038 P_PW_OS_CTRL   039 Q_PW_OS_CTRL</v>
      </c>
      <c r="D45" s="88">
        <f t="shared" si="23"/>
        <v>45</v>
      </c>
      <c r="E45" s="88">
        <v>3</v>
      </c>
      <c r="G45" s="88" t="str">
        <f t="shared" ca="1" si="11"/>
        <v>038</v>
      </c>
      <c r="H45" s="90" t="str">
        <f t="shared" ca="1" si="0"/>
        <v>P_PW_OS_CTRL</v>
      </c>
      <c r="I45" s="91" t="str">
        <f t="shared" ca="1" si="1"/>
        <v>0</v>
      </c>
      <c r="J45" s="92" t="s">
        <v>7</v>
      </c>
      <c r="K45" s="92">
        <f t="shared" ca="1" si="29"/>
        <v>0</v>
      </c>
      <c r="L45" s="80"/>
      <c r="N45" s="88">
        <f t="shared" si="24"/>
        <v>188</v>
      </c>
      <c r="O45" s="88">
        <v>3</v>
      </c>
      <c r="Q45" s="88" t="str">
        <f t="shared" ca="1" si="12"/>
        <v>038</v>
      </c>
      <c r="R45" s="90" t="str">
        <f t="shared" ca="1" si="3"/>
        <v>FREQ_CH26</v>
      </c>
      <c r="S45" s="91" t="str">
        <f t="shared" ca="1" si="4"/>
        <v>0</v>
      </c>
      <c r="T45" s="92" t="s">
        <v>19</v>
      </c>
      <c r="U45" s="92">
        <f t="shared" ca="1" si="30"/>
        <v>0</v>
      </c>
      <c r="V45" s="80"/>
      <c r="X45" s="88">
        <f t="shared" si="25"/>
        <v>251</v>
      </c>
      <c r="Y45" s="88">
        <v>3</v>
      </c>
      <c r="AA45" s="88" t="str">
        <f t="shared" ca="1" si="13"/>
        <v>038</v>
      </c>
      <c r="AB45" s="90" t="str">
        <f t="shared" ca="1" si="6"/>
        <v>CH6_F</v>
      </c>
      <c r="AC45" s="91" t="str">
        <f t="shared" ca="1" si="7"/>
        <v>2388</v>
      </c>
      <c r="AD45" s="92" t="s">
        <v>20</v>
      </c>
      <c r="AE45" s="92">
        <f t="shared" ca="1" si="28"/>
        <v>8.2727638073265553E-9</v>
      </c>
      <c r="AF45" s="80">
        <f t="shared" ca="1" si="31"/>
        <v>8.8772911454015012E-4</v>
      </c>
      <c r="AV45" s="97"/>
    </row>
    <row r="46" spans="1:52">
      <c r="A46" s="79" t="str">
        <f>'CALIBRATION GUIDE'!B97</f>
        <v>2E9A               212D               0                  80000000</v>
      </c>
      <c r="D46" s="88">
        <f t="shared" si="23"/>
        <v>45</v>
      </c>
      <c r="E46" s="88">
        <v>4</v>
      </c>
      <c r="G46" s="88" t="str">
        <f t="shared" ca="1" si="11"/>
        <v>039</v>
      </c>
      <c r="H46" s="90" t="str">
        <f t="shared" ca="1" si="0"/>
        <v>Q_PW_OS_CTRL</v>
      </c>
      <c r="I46" s="91" t="str">
        <f t="shared" ca="1" si="1"/>
        <v>80000000</v>
      </c>
      <c r="J46" s="92" t="s">
        <v>7</v>
      </c>
      <c r="K46" s="92">
        <f t="shared" ca="1" si="29"/>
        <v>-2147483648</v>
      </c>
      <c r="L46" s="80"/>
      <c r="N46" s="88">
        <f t="shared" si="24"/>
        <v>188</v>
      </c>
      <c r="O46" s="88">
        <v>4</v>
      </c>
      <c r="Q46" s="88" t="str">
        <f t="shared" ca="1" si="12"/>
        <v>039</v>
      </c>
      <c r="R46" s="90" t="str">
        <f t="shared" ca="1" si="3"/>
        <v>FREQ_CH27</v>
      </c>
      <c r="S46" s="91" t="str">
        <f t="shared" ca="1" si="4"/>
        <v>0</v>
      </c>
      <c r="T46" s="92" t="s">
        <v>19</v>
      </c>
      <c r="U46" s="92">
        <f t="shared" ca="1" si="30"/>
        <v>0</v>
      </c>
      <c r="V46" s="80"/>
      <c r="X46" s="88">
        <f t="shared" si="25"/>
        <v>251</v>
      </c>
      <c r="Y46" s="88">
        <v>4</v>
      </c>
      <c r="AA46" s="88" t="str">
        <f t="shared" ca="1" si="13"/>
        <v>039</v>
      </c>
      <c r="AB46" s="90" t="str">
        <f t="shared" ca="1" si="6"/>
        <v>CH7_F</v>
      </c>
      <c r="AC46" s="91" t="str">
        <f t="shared" ca="1" si="7"/>
        <v>17F5</v>
      </c>
      <c r="AD46" s="92" t="s">
        <v>20</v>
      </c>
      <c r="AE46" s="92">
        <f t="shared" ca="1" si="28"/>
        <v>5.5779310059733689E-9</v>
      </c>
      <c r="AF46" s="80">
        <f t="shared" ca="1" si="31"/>
        <v>1.9496364990693273E-3</v>
      </c>
      <c r="AV46" s="97"/>
    </row>
    <row r="47" spans="1:52">
      <c r="A47" s="79" t="str">
        <f>'CALIBRATION GUIDE'!B98</f>
        <v>040 POWER_OFFSET_P 041 POWER_OFFSET_Q 042 SWELL_OV_TH_00 043 SWELL_OV_TH_01</v>
      </c>
      <c r="D47" s="88">
        <f t="shared" si="23"/>
        <v>47</v>
      </c>
      <c r="E47" s="88">
        <v>1</v>
      </c>
      <c r="G47" s="88" t="str">
        <f t="shared" ca="1" si="11"/>
        <v>040</v>
      </c>
      <c r="H47" s="90" t="str">
        <f t="shared" ca="1" si="0"/>
        <v>POWER_OFFSET_P</v>
      </c>
      <c r="I47" s="91" t="str">
        <f ca="1">TRIM(MID(INDIRECT(ADDRESS(D47+1,1)),(E47-1)*19+1,19))</f>
        <v>0</v>
      </c>
      <c r="J47" s="92" t="s">
        <v>11</v>
      </c>
      <c r="K47" s="92">
        <f t="shared" ca="1" si="29"/>
        <v>0</v>
      </c>
      <c r="L47" s="80"/>
      <c r="N47" s="88">
        <f t="shared" si="24"/>
        <v>190</v>
      </c>
      <c r="O47" s="88">
        <v>1</v>
      </c>
      <c r="Q47" s="88" t="str">
        <f t="shared" ca="1" si="12"/>
        <v>030</v>
      </c>
      <c r="R47" s="90" t="str">
        <f t="shared" ca="1" si="3"/>
        <v>FREQ_CH28</v>
      </c>
      <c r="S47" s="91" t="str">
        <f ca="1">TRIM(MID(INDIRECT(ADDRESS(N47+1,1)),(O47-1)*19+1,19))</f>
        <v>0</v>
      </c>
      <c r="T47" s="92" t="s">
        <v>19</v>
      </c>
      <c r="U47" s="92">
        <f t="shared" ca="1" si="30"/>
        <v>0</v>
      </c>
      <c r="V47" s="80"/>
      <c r="X47" s="88">
        <f t="shared" si="25"/>
        <v>253</v>
      </c>
      <c r="Y47" s="88">
        <v>1</v>
      </c>
      <c r="AA47" s="88" t="str">
        <f t="shared" ca="1" si="13"/>
        <v>040</v>
      </c>
      <c r="AB47" s="90" t="str">
        <f t="shared" ca="1" si="6"/>
        <v>CH8_F</v>
      </c>
      <c r="AC47" s="91" t="str">
        <f ca="1">TRIM(MID(INDIRECT(ADDRESS(X47+1,1)),(Y47-1)*19+1,19))</f>
        <v>0</v>
      </c>
      <c r="AD47" s="92" t="s">
        <v>20</v>
      </c>
      <c r="AE47" s="92">
        <f t="shared" ca="1" si="28"/>
        <v>0</v>
      </c>
      <c r="AF47" s="80">
        <f t="shared" ca="1" si="31"/>
        <v>0</v>
      </c>
      <c r="AV47" s="97"/>
    </row>
    <row r="48" spans="1:52">
      <c r="A48" s="79" t="str">
        <f>'CALIBRATION GUIDE'!B99</f>
        <v>0                  345                0                  5E84F61</v>
      </c>
      <c r="D48" s="88">
        <f t="shared" si="23"/>
        <v>47</v>
      </c>
      <c r="E48" s="88">
        <v>2</v>
      </c>
      <c r="G48" s="88" t="str">
        <f t="shared" ca="1" si="11"/>
        <v>041</v>
      </c>
      <c r="H48" s="90" t="str">
        <f t="shared" ca="1" si="0"/>
        <v>POWER_OFFSET_Q</v>
      </c>
      <c r="I48" s="91" t="str">
        <f t="shared" ca="1" si="1"/>
        <v>345</v>
      </c>
      <c r="J48" s="92" t="s">
        <v>11</v>
      </c>
      <c r="K48" s="92">
        <f t="shared" ca="1" si="29"/>
        <v>7.7951699495315552E-7</v>
      </c>
      <c r="L48" s="80"/>
      <c r="N48" s="88">
        <f t="shared" si="24"/>
        <v>190</v>
      </c>
      <c r="O48" s="88">
        <v>2</v>
      </c>
      <c r="Q48" s="88" t="str">
        <f t="shared" ca="1" si="12"/>
        <v>041</v>
      </c>
      <c r="R48" s="90" t="str">
        <f t="shared" ca="1" si="3"/>
        <v>FREQ_CH29</v>
      </c>
      <c r="S48" s="91" t="str">
        <f t="shared" ref="S48:S111" ca="1" si="32">TRIM(MID(INDIRECT(ADDRESS(N48+1,1)),(O48-1)*19+1,19))</f>
        <v>0</v>
      </c>
      <c r="T48" s="92" t="s">
        <v>19</v>
      </c>
      <c r="U48" s="92">
        <f t="shared" ca="1" si="30"/>
        <v>0</v>
      </c>
      <c r="V48" s="80"/>
      <c r="X48" s="88">
        <f t="shared" si="25"/>
        <v>253</v>
      </c>
      <c r="Y48" s="88">
        <v>2</v>
      </c>
      <c r="AA48" s="88" t="str">
        <f t="shared" ca="1" si="13"/>
        <v>041</v>
      </c>
      <c r="AB48" s="90" t="str">
        <f t="shared" ca="1" si="6"/>
        <v>CH9_F</v>
      </c>
      <c r="AC48" s="91" t="str">
        <f t="shared" ref="AC48:AC111" ca="1" si="33">TRIM(MID(INDIRECT(ADDRESS(X48+1,1)),(Y48-1)*19+1,19))</f>
        <v>0</v>
      </c>
      <c r="AD48" s="92" t="s">
        <v>20</v>
      </c>
      <c r="AE48" s="92">
        <f t="shared" ca="1" si="28"/>
        <v>0</v>
      </c>
      <c r="AF48" s="80">
        <f t="shared" ca="1" si="31"/>
        <v>0</v>
      </c>
    </row>
    <row r="49" spans="1:32">
      <c r="A49" s="79" t="str">
        <f>'CALIBRATION GUIDE'!B100</f>
        <v>044 SWELL_OV_TH_02 045 SWELL_OV_TH_03 046 SWELL_OV_TH_04 047 SWELL_OV_TH_05</v>
      </c>
      <c r="D49" s="88">
        <f t="shared" si="23"/>
        <v>47</v>
      </c>
      <c r="E49" s="88">
        <v>3</v>
      </c>
      <c r="G49" s="88" t="str">
        <f t="shared" ca="1" si="11"/>
        <v>042</v>
      </c>
      <c r="H49" s="90" t="str">
        <f t="shared" ca="1" si="0"/>
        <v>SWELL_OV_TH_00</v>
      </c>
      <c r="I49" s="91" t="str">
        <f t="shared" ca="1" si="1"/>
        <v>0</v>
      </c>
      <c r="J49" s="92" t="s">
        <v>12</v>
      </c>
      <c r="K49" s="92">
        <f t="shared" ca="1" si="29"/>
        <v>0</v>
      </c>
      <c r="L49" s="80"/>
      <c r="N49" s="88">
        <f t="shared" si="24"/>
        <v>190</v>
      </c>
      <c r="O49" s="88">
        <v>3</v>
      </c>
      <c r="Q49" s="88" t="str">
        <f t="shared" ca="1" si="12"/>
        <v>042</v>
      </c>
      <c r="R49" s="90" t="str">
        <f t="shared" ca="1" si="3"/>
        <v>FREQ_CH30</v>
      </c>
      <c r="S49" s="91" t="str">
        <f t="shared" ca="1" si="32"/>
        <v>0</v>
      </c>
      <c r="T49" s="92" t="s">
        <v>19</v>
      </c>
      <c r="U49" s="92">
        <f t="shared" ca="1" si="30"/>
        <v>0</v>
      </c>
      <c r="V49" s="80"/>
      <c r="X49" s="88">
        <f t="shared" si="25"/>
        <v>253</v>
      </c>
      <c r="Y49" s="88">
        <v>3</v>
      </c>
      <c r="AA49" s="88" t="str">
        <f t="shared" ca="1" si="13"/>
        <v>042</v>
      </c>
      <c r="AB49" s="90" t="str">
        <f t="shared" ca="1" si="6"/>
        <v>CH10_F</v>
      </c>
      <c r="AC49" s="91" t="str">
        <f t="shared" ca="1" si="33"/>
        <v>0</v>
      </c>
      <c r="AD49" s="92" t="s">
        <v>20</v>
      </c>
      <c r="AE49" s="92">
        <f t="shared" ca="1" si="28"/>
        <v>0</v>
      </c>
      <c r="AF49" s="80">
        <f t="shared" ca="1" si="31"/>
        <v>0</v>
      </c>
    </row>
    <row r="50" spans="1:32">
      <c r="A50" s="79" t="str">
        <f>'CALIBRATION GUIDE'!B101</f>
        <v>0                  5E84F61            0                  5E84F61</v>
      </c>
      <c r="D50" s="88">
        <f t="shared" si="23"/>
        <v>47</v>
      </c>
      <c r="E50" s="88">
        <v>4</v>
      </c>
      <c r="G50" s="88" t="str">
        <f t="shared" ca="1" si="11"/>
        <v>043</v>
      </c>
      <c r="H50" s="90" t="str">
        <f t="shared" ca="1" si="0"/>
        <v>SWELL_OV_TH_01</v>
      </c>
      <c r="I50" s="91" t="str">
        <f t="shared" ca="1" si="1"/>
        <v>5E84F61</v>
      </c>
      <c r="J50" s="92" t="s">
        <v>12</v>
      </c>
      <c r="K50" s="92">
        <f t="shared" ca="1" si="29"/>
        <v>2.307602041400969E-2</v>
      </c>
      <c r="L50" s="80"/>
      <c r="N50" s="88">
        <f t="shared" si="24"/>
        <v>190</v>
      </c>
      <c r="O50" s="88">
        <v>4</v>
      </c>
      <c r="Q50" s="88" t="str">
        <f t="shared" ca="1" si="12"/>
        <v>043</v>
      </c>
      <c r="R50" s="90" t="str">
        <f t="shared" ca="1" si="3"/>
        <v>FREQ_CH31</v>
      </c>
      <c r="S50" s="91" t="str">
        <f t="shared" ca="1" si="32"/>
        <v>0</v>
      </c>
      <c r="T50" s="92" t="s">
        <v>19</v>
      </c>
      <c r="U50" s="92">
        <f t="shared" ca="1" si="30"/>
        <v>0</v>
      </c>
      <c r="V50" s="80"/>
      <c r="X50" s="88">
        <f t="shared" si="25"/>
        <v>253</v>
      </c>
      <c r="Y50" s="88">
        <v>4</v>
      </c>
      <c r="AA50" s="88" t="str">
        <f t="shared" ca="1" si="13"/>
        <v>043</v>
      </c>
      <c r="AB50" s="90" t="str">
        <f t="shared" ca="1" si="6"/>
        <v>CH11_F</v>
      </c>
      <c r="AC50" s="91" t="str">
        <f t="shared" ca="1" si="33"/>
        <v>0</v>
      </c>
      <c r="AD50" s="92" t="s">
        <v>20</v>
      </c>
      <c r="AE50" s="92">
        <f t="shared" ca="1" si="28"/>
        <v>0</v>
      </c>
      <c r="AF50" s="80">
        <f t="shared" ca="1" si="31"/>
        <v>0</v>
      </c>
    </row>
    <row r="51" spans="1:32">
      <c r="A51" s="79" t="str">
        <f>'CALIBRATION GUIDE'!B102</f>
        <v>048 SWELL_OV_TH_06 049 SWELL_OV_TH_07 050 SWELL_OV_TH_08 051 SWELL_OV_TH_09</v>
      </c>
      <c r="D51" s="88">
        <f t="shared" si="23"/>
        <v>49</v>
      </c>
      <c r="E51" s="88">
        <v>1</v>
      </c>
      <c r="G51" s="88" t="str">
        <f t="shared" ca="1" si="11"/>
        <v>044</v>
      </c>
      <c r="H51" s="90" t="str">
        <f t="shared" ca="1" si="0"/>
        <v>SWELL_OV_TH_02</v>
      </c>
      <c r="I51" s="91" t="str">
        <f t="shared" ca="1" si="1"/>
        <v>0</v>
      </c>
      <c r="J51" s="92" t="s">
        <v>12</v>
      </c>
      <c r="K51" s="92">
        <f ca="1">(HEX2DEC(LEFT(REPT("0",16-LEN(I51))&amp;I51,10))*16^6+HEX2DEC(RIGHT(I51,6)))/2^(0+MID(J51,FIND(".",J51)+1,2))</f>
        <v>0</v>
      </c>
      <c r="L51" s="80"/>
      <c r="N51" s="88">
        <f t="shared" si="24"/>
        <v>192</v>
      </c>
      <c r="O51" s="88">
        <v>1</v>
      </c>
      <c r="Q51" s="88" t="str">
        <f t="shared" ca="1" si="12"/>
        <v>044</v>
      </c>
      <c r="R51" s="90" t="str">
        <f t="shared" ca="1" si="3"/>
        <v>RESERVED_S44</v>
      </c>
      <c r="S51" s="91" t="str">
        <f t="shared" ca="1" si="32"/>
        <v>0</v>
      </c>
      <c r="T51" s="92" t="s">
        <v>12</v>
      </c>
      <c r="U51" s="92">
        <f ca="1">(HEX2DEC(LEFT(REPT("0",16-LEN(S51))&amp;S51,10))*16^6+HEX2DEC(RIGHT(S51,6)))/2^(0+MID(T51,FIND(".",T51)+1,2))</f>
        <v>0</v>
      </c>
      <c r="V51" s="80"/>
      <c r="X51" s="88">
        <f t="shared" si="25"/>
        <v>255</v>
      </c>
      <c r="Y51" s="88">
        <v>1</v>
      </c>
      <c r="AA51" s="88" t="str">
        <f t="shared" ca="1" si="13"/>
        <v>044</v>
      </c>
      <c r="AB51" s="90" t="str">
        <f t="shared" ca="1" si="6"/>
        <v>CH12_F</v>
      </c>
      <c r="AC51" s="91" t="str">
        <f t="shared" ca="1" si="33"/>
        <v>0</v>
      </c>
      <c r="AD51" s="92" t="s">
        <v>20</v>
      </c>
      <c r="AE51" s="92">
        <f t="shared" ca="1" si="28"/>
        <v>0</v>
      </c>
      <c r="AF51" s="80">
        <f t="shared" ca="1" si="31"/>
        <v>0</v>
      </c>
    </row>
    <row r="52" spans="1:32">
      <c r="A52" s="79" t="str">
        <f>'CALIBRATION GUIDE'!B103</f>
        <v>0                  5E84F61            0                  5E84F61</v>
      </c>
      <c r="D52" s="88">
        <f t="shared" si="23"/>
        <v>49</v>
      </c>
      <c r="E52" s="88">
        <v>2</v>
      </c>
      <c r="G52" s="88" t="str">
        <f t="shared" ca="1" si="11"/>
        <v>045</v>
      </c>
      <c r="H52" s="90" t="str">
        <f t="shared" ca="1" si="0"/>
        <v>SWELL_OV_TH_03</v>
      </c>
      <c r="I52" s="91" t="str">
        <f t="shared" ca="1" si="1"/>
        <v>5E84F61</v>
      </c>
      <c r="J52" s="92" t="s">
        <v>12</v>
      </c>
      <c r="K52" s="92">
        <f ca="1">(HEX2DEC(LEFT(REPT("0",16-LEN(I52))&amp;I52,10))*16^6+HEX2DEC(RIGHT(I52,6)))/2^(0+MID(J52,FIND(".",J52)+1,2))</f>
        <v>2.307602041400969E-2</v>
      </c>
      <c r="L52" s="80"/>
      <c r="N52" s="88">
        <f t="shared" si="24"/>
        <v>192</v>
      </c>
      <c r="O52" s="88">
        <v>2</v>
      </c>
      <c r="Q52" s="88" t="str">
        <f t="shared" ca="1" si="12"/>
        <v>045</v>
      </c>
      <c r="R52" s="90" t="str">
        <f t="shared" ca="1" si="3"/>
        <v>RESERVED_S45</v>
      </c>
      <c r="S52" s="91" t="str">
        <f t="shared" ca="1" si="32"/>
        <v>0</v>
      </c>
      <c r="T52" s="92" t="s">
        <v>12</v>
      </c>
      <c r="U52" s="92">
        <f ca="1">(HEX2DEC(LEFT(REPT("0",16-LEN(S52))&amp;S52,10))*16^6+HEX2DEC(RIGHT(S52,6)))/2^(0+MID(T52,FIND(".",T52)+1,2))</f>
        <v>0</v>
      </c>
      <c r="V52" s="80"/>
      <c r="X52" s="88">
        <f t="shared" si="25"/>
        <v>255</v>
      </c>
      <c r="Y52" s="88">
        <v>2</v>
      </c>
      <c r="AA52" s="88" t="str">
        <f t="shared" ca="1" si="13"/>
        <v>045</v>
      </c>
      <c r="AB52" s="90" t="str">
        <f t="shared" ca="1" si="6"/>
        <v>CH13_F</v>
      </c>
      <c r="AC52" s="91" t="str">
        <f t="shared" ca="1" si="33"/>
        <v>0</v>
      </c>
      <c r="AD52" s="92" t="s">
        <v>20</v>
      </c>
      <c r="AE52" s="92">
        <f t="shared" ca="1" si="28"/>
        <v>0</v>
      </c>
      <c r="AF52" s="80">
        <f t="shared" ca="1" si="31"/>
        <v>0</v>
      </c>
    </row>
    <row r="53" spans="1:32">
      <c r="A53" s="79" t="str">
        <f>'CALIBRATION GUIDE'!B104</f>
        <v>052 SWELL_OV_TH_10 053 SWELL_OV_TH_11 054 SWELL_OV_TH_12 055 SWELL_OV_TH_13</v>
      </c>
      <c r="D53" s="88">
        <f t="shared" si="23"/>
        <v>49</v>
      </c>
      <c r="E53" s="88">
        <v>3</v>
      </c>
      <c r="G53" s="88" t="str">
        <f t="shared" ca="1" si="11"/>
        <v>046</v>
      </c>
      <c r="H53" s="90" t="str">
        <f t="shared" ca="1" si="0"/>
        <v>SWELL_OV_TH_04</v>
      </c>
      <c r="I53" s="91" t="str">
        <f t="shared" ca="1" si="1"/>
        <v>0</v>
      </c>
      <c r="J53" s="92" t="s">
        <v>12</v>
      </c>
      <c r="K53" s="92">
        <f ca="1">(HEX2DEC(LEFT(REPT("0",16-LEN(I53))&amp;I53,10))*16^6+HEX2DEC(RIGHT(I53,6)))/2^(0+MID(J53,FIND(".",J53)+1,2))</f>
        <v>0</v>
      </c>
      <c r="L53" s="80"/>
      <c r="N53" s="88">
        <f t="shared" si="24"/>
        <v>192</v>
      </c>
      <c r="O53" s="88">
        <v>3</v>
      </c>
      <c r="Q53" s="88" t="str">
        <f t="shared" ca="1" si="12"/>
        <v>046</v>
      </c>
      <c r="R53" s="90" t="str">
        <f t="shared" ca="1" si="3"/>
        <v>CH_MAX_0</v>
      </c>
      <c r="S53" s="91" t="str">
        <f t="shared" ca="1" si="32"/>
        <v>60BD064</v>
      </c>
      <c r="T53" s="92" t="s">
        <v>15</v>
      </c>
      <c r="U53" s="92">
        <f ca="1">(HEX2DEC(LEFT(REPT("0",16-LEN(S53))&amp;S53,10))*16^6+HEX2DEC(RIGHT(S53,6)))/2^(0+MID(T53,FIND(".",T53)+1,2))</f>
        <v>0.18894214183092117</v>
      </c>
      <c r="V53" s="80">
        <f ca="1">U53*K113</f>
        <v>311.94347616285086</v>
      </c>
      <c r="X53" s="88">
        <f t="shared" si="25"/>
        <v>255</v>
      </c>
      <c r="Y53" s="88">
        <v>3</v>
      </c>
      <c r="AA53" s="88" t="str">
        <f t="shared" ca="1" si="13"/>
        <v>046</v>
      </c>
      <c r="AB53" s="90" t="str">
        <f t="shared" ca="1" si="6"/>
        <v>CH14_F</v>
      </c>
      <c r="AC53" s="91" t="str">
        <f t="shared" ca="1" si="33"/>
        <v>0</v>
      </c>
      <c r="AD53" s="92" t="s">
        <v>20</v>
      </c>
      <c r="AE53" s="92">
        <f t="shared" ca="1" si="28"/>
        <v>0</v>
      </c>
      <c r="AF53" s="80">
        <f t="shared" ca="1" si="31"/>
        <v>0</v>
      </c>
    </row>
    <row r="54" spans="1:32">
      <c r="A54" s="79" t="str">
        <f>'CALIBRATION GUIDE'!B105</f>
        <v>0                  5E84F61            0                  0</v>
      </c>
      <c r="D54" s="88">
        <f t="shared" si="23"/>
        <v>49</v>
      </c>
      <c r="E54" s="88">
        <v>4</v>
      </c>
      <c r="G54" s="88" t="str">
        <f t="shared" ca="1" si="11"/>
        <v>047</v>
      </c>
      <c r="H54" s="90" t="str">
        <f t="shared" ca="1" si="0"/>
        <v>SWELL_OV_TH_05</v>
      </c>
      <c r="I54" s="91" t="str">
        <f t="shared" ca="1" si="1"/>
        <v>5E84F61</v>
      </c>
      <c r="J54" s="92" t="s">
        <v>12</v>
      </c>
      <c r="K54" s="92">
        <f ca="1">(HEX2DEC(LEFT(REPT("0",16-LEN(I54))&amp;I54,10))*16^6+HEX2DEC(RIGHT(I54,6)))/2^(0+MID(J54,FIND(".",J54)+1,2))</f>
        <v>2.307602041400969E-2</v>
      </c>
      <c r="L54" s="80"/>
      <c r="N54" s="88">
        <f t="shared" si="24"/>
        <v>192</v>
      </c>
      <c r="O54" s="88">
        <v>4</v>
      </c>
      <c r="Q54" s="88" t="str">
        <f t="shared" ca="1" si="12"/>
        <v>047</v>
      </c>
      <c r="R54" s="90" t="str">
        <f t="shared" ca="1" si="3"/>
        <v>CH_MAX_1</v>
      </c>
      <c r="S54" s="91" t="str">
        <f t="shared" ca="1" si="32"/>
        <v>60B8536</v>
      </c>
      <c r="T54" s="92" t="s">
        <v>15</v>
      </c>
      <c r="U54" s="92">
        <f ca="1">(HEX2DEC(LEFT(REPT("0",16-LEN(S54))&amp;S54,10))*16^6+HEX2DEC(RIGHT(S54,6)))/2^(0+MID(T54,FIND(".",T54)+1,2))</f>
        <v>0.18890629336237907</v>
      </c>
      <c r="V54" s="80">
        <f t="shared" ref="V54:V84" ca="1" si="34">U54*K114</f>
        <v>311.88429034128785</v>
      </c>
      <c r="X54" s="88">
        <f t="shared" si="25"/>
        <v>255</v>
      </c>
      <c r="Y54" s="88">
        <v>4</v>
      </c>
      <c r="AA54" s="88" t="str">
        <f t="shared" ca="1" si="13"/>
        <v>047</v>
      </c>
      <c r="AB54" s="90" t="str">
        <f t="shared" ca="1" si="6"/>
        <v>CH15_F</v>
      </c>
      <c r="AC54" s="91" t="str">
        <f t="shared" ca="1" si="33"/>
        <v>0</v>
      </c>
      <c r="AD54" s="92" t="s">
        <v>20</v>
      </c>
      <c r="AE54" s="92">
        <f t="shared" ca="1" si="28"/>
        <v>0</v>
      </c>
      <c r="AF54" s="80">
        <f t="shared" ca="1" si="31"/>
        <v>0</v>
      </c>
    </row>
    <row r="55" spans="1:32">
      <c r="A55" s="79" t="str">
        <f>'CALIBRATION GUIDE'!B106</f>
        <v>056 SWELL_OV_TH_14 057 SWELL_OV_TH_15 058 SWELL_OV_TH_16 059 SWELL_OV_TH_17</v>
      </c>
      <c r="D55" s="88">
        <f t="shared" si="23"/>
        <v>51</v>
      </c>
      <c r="E55" s="88">
        <v>1</v>
      </c>
      <c r="G55" s="88" t="str">
        <f t="shared" ca="1" si="11"/>
        <v>048</v>
      </c>
      <c r="H55" s="90" t="str">
        <f t="shared" ca="1" si="0"/>
        <v>SWELL_OV_TH_06</v>
      </c>
      <c r="I55" s="91" t="str">
        <f t="shared" ca="1" si="1"/>
        <v>0</v>
      </c>
      <c r="J55" s="92" t="s">
        <v>12</v>
      </c>
      <c r="K55" s="92">
        <f t="shared" ref="K55:K61" ca="1" si="35">(HEX2DEC(LEFT(REPT("0",16-LEN(I55))&amp;I55,10))*16^6+HEX2DEC(RIGHT(I55,6)))/2^(0+MID(J55,FIND(".",J55)+1,2))</f>
        <v>0</v>
      </c>
      <c r="L55" s="80"/>
      <c r="N55" s="88">
        <f t="shared" si="24"/>
        <v>194</v>
      </c>
      <c r="O55" s="88">
        <v>1</v>
      </c>
      <c r="Q55" s="88" t="str">
        <f t="shared" ca="1" si="12"/>
        <v>048</v>
      </c>
      <c r="R55" s="90" t="str">
        <f t="shared" ca="1" si="3"/>
        <v>CH_MAX_2</v>
      </c>
      <c r="S55" s="91" t="str">
        <f t="shared" ca="1" si="32"/>
        <v>60BDB45</v>
      </c>
      <c r="T55" s="92" t="s">
        <v>15</v>
      </c>
      <c r="U55" s="92">
        <f t="shared" ref="U55:U61" ca="1" si="36">(HEX2DEC(LEFT(REPT("0",16-LEN(S55))&amp;S55,10))*16^6+HEX2DEC(RIGHT(S55,6)))/2^(0+MID(T55,FIND(".",T55)+1,2))</f>
        <v>0.18894732929766178</v>
      </c>
      <c r="V55" s="80">
        <f t="shared" ca="1" si="34"/>
        <v>311.9520406704396</v>
      </c>
      <c r="X55" s="88">
        <f t="shared" si="25"/>
        <v>257</v>
      </c>
      <c r="Y55" s="88">
        <v>1</v>
      </c>
      <c r="AA55" s="88" t="str">
        <f t="shared" ca="1" si="13"/>
        <v>048</v>
      </c>
      <c r="AB55" s="90" t="str">
        <f t="shared" ca="1" si="6"/>
        <v>CH16_F</v>
      </c>
      <c r="AC55" s="91" t="str">
        <f t="shared" ca="1" si="33"/>
        <v>0</v>
      </c>
      <c r="AD55" s="92" t="s">
        <v>20</v>
      </c>
      <c r="AE55" s="92">
        <f t="shared" ca="1" si="28"/>
        <v>0</v>
      </c>
      <c r="AF55" s="80">
        <f t="shared" ca="1" si="31"/>
        <v>0</v>
      </c>
    </row>
    <row r="56" spans="1:32">
      <c r="A56" s="79" t="str">
        <f>'CALIBRATION GUIDE'!B107</f>
        <v>0                  0                  0                  0</v>
      </c>
      <c r="D56" s="88">
        <f t="shared" si="23"/>
        <v>51</v>
      </c>
      <c r="E56" s="88">
        <v>2</v>
      </c>
      <c r="G56" s="88" t="str">
        <f t="shared" ca="1" si="11"/>
        <v>049</v>
      </c>
      <c r="H56" s="90" t="str">
        <f t="shared" ca="1" si="0"/>
        <v>SWELL_OV_TH_07</v>
      </c>
      <c r="I56" s="91" t="str">
        <f t="shared" ca="1" si="1"/>
        <v>5E84F61</v>
      </c>
      <c r="J56" s="92" t="s">
        <v>12</v>
      </c>
      <c r="K56" s="92">
        <f t="shared" ca="1" si="35"/>
        <v>2.307602041400969E-2</v>
      </c>
      <c r="L56" s="80"/>
      <c r="N56" s="88">
        <f t="shared" si="24"/>
        <v>194</v>
      </c>
      <c r="O56" s="88">
        <v>2</v>
      </c>
      <c r="Q56" s="88" t="str">
        <f t="shared" ca="1" si="12"/>
        <v>049</v>
      </c>
      <c r="R56" s="90" t="str">
        <f t="shared" ca="1" si="3"/>
        <v>CH_MAX_3</v>
      </c>
      <c r="S56" s="91" t="str">
        <f t="shared" ca="1" si="32"/>
        <v>23E7BFC</v>
      </c>
      <c r="T56" s="92" t="s">
        <v>15</v>
      </c>
      <c r="U56" s="92">
        <f t="shared" ca="1" si="36"/>
        <v>7.0127479732036591E-2</v>
      </c>
      <c r="V56" s="80">
        <f t="shared" ca="1" si="34"/>
        <v>43.288583799941989</v>
      </c>
      <c r="X56" s="88">
        <f t="shared" si="25"/>
        <v>257</v>
      </c>
      <c r="Y56" s="88">
        <v>2</v>
      </c>
      <c r="AA56" s="88" t="str">
        <f t="shared" ca="1" si="13"/>
        <v>049</v>
      </c>
      <c r="AB56" s="90" t="str">
        <f t="shared" ca="1" si="6"/>
        <v>CH17_F</v>
      </c>
      <c r="AC56" s="91" t="str">
        <f t="shared" ca="1" si="33"/>
        <v>0</v>
      </c>
      <c r="AD56" s="92" t="s">
        <v>20</v>
      </c>
      <c r="AE56" s="92">
        <f t="shared" ca="1" si="28"/>
        <v>0</v>
      </c>
      <c r="AF56" s="80">
        <f t="shared" ca="1" si="31"/>
        <v>0</v>
      </c>
    </row>
    <row r="57" spans="1:32">
      <c r="A57" s="79" t="str">
        <f>'CALIBRATION GUIDE'!B108</f>
        <v>060 SWELL_OV_TH_18 061 SWELL_OV_TH_19 062 SWELL_OV_TH_20 063 SWELL_OV_TH_21</v>
      </c>
      <c r="D57" s="88">
        <f t="shared" si="23"/>
        <v>51</v>
      </c>
      <c r="E57" s="88">
        <v>3</v>
      </c>
      <c r="G57" s="88" t="str">
        <f t="shared" ca="1" si="11"/>
        <v>050</v>
      </c>
      <c r="H57" s="90" t="str">
        <f t="shared" ca="1" si="0"/>
        <v>SWELL_OV_TH_08</v>
      </c>
      <c r="I57" s="91" t="str">
        <f t="shared" ca="1" si="1"/>
        <v>0</v>
      </c>
      <c r="J57" s="92" t="s">
        <v>12</v>
      </c>
      <c r="K57" s="92">
        <f t="shared" ca="1" si="35"/>
        <v>0</v>
      </c>
      <c r="L57" s="80"/>
      <c r="N57" s="88">
        <f t="shared" si="24"/>
        <v>194</v>
      </c>
      <c r="O57" s="88">
        <v>3</v>
      </c>
      <c r="Q57" s="88" t="str">
        <f t="shared" ca="1" si="12"/>
        <v>050</v>
      </c>
      <c r="R57" s="90" t="str">
        <f t="shared" ca="1" si="3"/>
        <v>CH_MAX_4</v>
      </c>
      <c r="S57" s="91" t="str">
        <f t="shared" ca="1" si="32"/>
        <v>23D191F</v>
      </c>
      <c r="T57" s="92" t="s">
        <v>15</v>
      </c>
      <c r="U57" s="92">
        <f t="shared" ca="1" si="36"/>
        <v>6.9958267733454704E-2</v>
      </c>
      <c r="V57" s="80">
        <f t="shared" ca="1" si="34"/>
        <v>43.184131910204087</v>
      </c>
      <c r="X57" s="88">
        <f t="shared" si="25"/>
        <v>257</v>
      </c>
      <c r="Y57" s="88">
        <v>3</v>
      </c>
      <c r="AA57" s="88" t="str">
        <f t="shared" ca="1" si="13"/>
        <v>050</v>
      </c>
      <c r="AB57" s="90" t="str">
        <f t="shared" ca="1" si="6"/>
        <v>CH18_F</v>
      </c>
      <c r="AC57" s="91" t="str">
        <f t="shared" ca="1" si="33"/>
        <v>0</v>
      </c>
      <c r="AD57" s="92" t="s">
        <v>20</v>
      </c>
      <c r="AE57" s="92">
        <f t="shared" ca="1" si="28"/>
        <v>0</v>
      </c>
      <c r="AF57" s="80">
        <f t="shared" ca="1" si="31"/>
        <v>0</v>
      </c>
    </row>
    <row r="58" spans="1:32">
      <c r="A58" s="79" t="str">
        <f>'CALIBRATION GUIDE'!B109</f>
        <v>0                  0                  0                  0</v>
      </c>
      <c r="D58" s="88">
        <f t="shared" si="23"/>
        <v>51</v>
      </c>
      <c r="E58" s="88">
        <v>4</v>
      </c>
      <c r="G58" s="88" t="str">
        <f t="shared" ca="1" si="11"/>
        <v>051</v>
      </c>
      <c r="H58" s="90" t="str">
        <f t="shared" ca="1" si="0"/>
        <v>SWELL_OV_TH_09</v>
      </c>
      <c r="I58" s="91" t="str">
        <f t="shared" ca="1" si="1"/>
        <v>5E84F61</v>
      </c>
      <c r="J58" s="92" t="s">
        <v>12</v>
      </c>
      <c r="K58" s="92">
        <f t="shared" ca="1" si="35"/>
        <v>2.307602041400969E-2</v>
      </c>
      <c r="L58" s="80"/>
      <c r="N58" s="88">
        <f t="shared" si="24"/>
        <v>194</v>
      </c>
      <c r="O58" s="88">
        <v>4</v>
      </c>
      <c r="Q58" s="88" t="str">
        <f t="shared" ca="1" si="12"/>
        <v>051</v>
      </c>
      <c r="R58" s="90" t="str">
        <f t="shared" ca="1" si="3"/>
        <v>CH_MAX_5</v>
      </c>
      <c r="S58" s="91" t="str">
        <f t="shared" ca="1" si="32"/>
        <v>23CFBB7</v>
      </c>
      <c r="T58" s="92" t="s">
        <v>15</v>
      </c>
      <c r="U58" s="92">
        <f t="shared" ca="1" si="36"/>
        <v>6.9944245740771294E-2</v>
      </c>
      <c r="V58" s="80">
        <f t="shared" ca="1" si="34"/>
        <v>43.175476355952924</v>
      </c>
      <c r="X58" s="88">
        <f t="shared" si="25"/>
        <v>257</v>
      </c>
      <c r="Y58" s="88">
        <v>4</v>
      </c>
      <c r="AA58" s="88" t="str">
        <f t="shared" ca="1" si="13"/>
        <v>051</v>
      </c>
      <c r="AB58" s="90" t="str">
        <f t="shared" ca="1" si="6"/>
        <v>CH19_F</v>
      </c>
      <c r="AC58" s="91" t="str">
        <f t="shared" ca="1" si="33"/>
        <v>0</v>
      </c>
      <c r="AD58" s="92" t="s">
        <v>20</v>
      </c>
      <c r="AE58" s="92">
        <f t="shared" ca="1" si="28"/>
        <v>0</v>
      </c>
      <c r="AF58" s="80">
        <f t="shared" ca="1" si="31"/>
        <v>0</v>
      </c>
    </row>
    <row r="59" spans="1:32">
      <c r="A59" s="79" t="str">
        <f>'CALIBRATION GUIDE'!B110</f>
        <v>064 SWELL_OV_TH_22 065 SWELL_OV_TH_23 066 SWELL_OV_TH_24 067 SWELL_OV_TH_25</v>
      </c>
      <c r="D59" s="88">
        <f t="shared" si="23"/>
        <v>53</v>
      </c>
      <c r="E59" s="88">
        <v>1</v>
      </c>
      <c r="F59" s="88"/>
      <c r="G59" s="88" t="str">
        <f t="shared" ca="1" si="11"/>
        <v>052</v>
      </c>
      <c r="H59" s="90" t="str">
        <f t="shared" ca="1" si="0"/>
        <v>SWELL_OV_TH_10</v>
      </c>
      <c r="I59" s="91" t="str">
        <f t="shared" ca="1" si="1"/>
        <v>0</v>
      </c>
      <c r="J59" s="92" t="s">
        <v>12</v>
      </c>
      <c r="K59" s="92">
        <f t="shared" ca="1" si="35"/>
        <v>0</v>
      </c>
      <c r="L59" s="80"/>
      <c r="N59" s="88">
        <f t="shared" si="24"/>
        <v>196</v>
      </c>
      <c r="O59" s="88">
        <v>1</v>
      </c>
      <c r="P59" s="88"/>
      <c r="Q59" s="88" t="str">
        <f t="shared" ca="1" si="12"/>
        <v>052</v>
      </c>
      <c r="R59" s="90" t="str">
        <f t="shared" ca="1" si="3"/>
        <v>CH_MAX_6</v>
      </c>
      <c r="S59" s="91" t="str">
        <f t="shared" ca="1" si="32"/>
        <v>5B08</v>
      </c>
      <c r="T59" s="92" t="s">
        <v>15</v>
      </c>
      <c r="U59" s="92">
        <f t="shared" ca="1" si="36"/>
        <v>4.3407082557678223E-5</v>
      </c>
      <c r="V59" s="80">
        <f t="shared" ca="1" si="34"/>
        <v>2.6794505349243991E-2</v>
      </c>
      <c r="X59" s="88">
        <f t="shared" si="25"/>
        <v>259</v>
      </c>
      <c r="Y59" s="88">
        <v>1</v>
      </c>
      <c r="Z59" s="88"/>
      <c r="AA59" s="88" t="str">
        <f t="shared" ca="1" si="13"/>
        <v>052</v>
      </c>
      <c r="AB59" s="90" t="str">
        <f t="shared" ca="1" si="6"/>
        <v>CH20_F</v>
      </c>
      <c r="AC59" s="91" t="str">
        <f t="shared" ca="1" si="33"/>
        <v>0</v>
      </c>
      <c r="AD59" s="92" t="s">
        <v>20</v>
      </c>
      <c r="AE59" s="92">
        <f t="shared" ca="1" si="28"/>
        <v>0</v>
      </c>
      <c r="AF59" s="80">
        <f t="shared" ca="1" si="31"/>
        <v>0</v>
      </c>
    </row>
    <row r="60" spans="1:32">
      <c r="A60" s="79" t="str">
        <f>'CALIBRATION GUIDE'!B111</f>
        <v>0                  0                  0                  0</v>
      </c>
      <c r="D60" s="88">
        <f t="shared" si="23"/>
        <v>53</v>
      </c>
      <c r="E60" s="88">
        <v>2</v>
      </c>
      <c r="G60" s="88" t="str">
        <f t="shared" ca="1" si="11"/>
        <v>053</v>
      </c>
      <c r="H60" s="90" t="str">
        <f t="shared" ca="1" si="0"/>
        <v>SWELL_OV_TH_11</v>
      </c>
      <c r="I60" s="91" t="str">
        <f t="shared" ca="1" si="1"/>
        <v>5E84F61</v>
      </c>
      <c r="J60" s="92" t="s">
        <v>12</v>
      </c>
      <c r="K60" s="92">
        <f t="shared" ca="1" si="35"/>
        <v>2.307602041400969E-2</v>
      </c>
      <c r="L60" s="80"/>
      <c r="N60" s="88">
        <f t="shared" si="24"/>
        <v>196</v>
      </c>
      <c r="O60" s="88">
        <v>2</v>
      </c>
      <c r="Q60" s="88" t="str">
        <f t="shared" ca="1" si="12"/>
        <v>053</v>
      </c>
      <c r="R60" s="90" t="str">
        <f t="shared" ca="1" si="3"/>
        <v>CH_MAX_7</v>
      </c>
      <c r="S60" s="91" t="str">
        <f t="shared" ca="1" si="32"/>
        <v>6F4A</v>
      </c>
      <c r="T60" s="92" t="s">
        <v>15</v>
      </c>
      <c r="U60" s="92">
        <f t="shared" ca="1" si="36"/>
        <v>5.3066760301589966E-5</v>
      </c>
      <c r="V60" s="80">
        <f t="shared" ca="1" si="34"/>
        <v>8.7613221257925034E-2</v>
      </c>
      <c r="X60" s="88">
        <f t="shared" si="25"/>
        <v>259</v>
      </c>
      <c r="Y60" s="88">
        <v>2</v>
      </c>
      <c r="AA60" s="88" t="str">
        <f t="shared" ca="1" si="13"/>
        <v>053</v>
      </c>
      <c r="AB60" s="90" t="str">
        <f t="shared" ca="1" si="6"/>
        <v>CH21_F</v>
      </c>
      <c r="AC60" s="91" t="str">
        <f t="shared" ca="1" si="33"/>
        <v>0</v>
      </c>
      <c r="AD60" s="92" t="s">
        <v>20</v>
      </c>
      <c r="AE60" s="92">
        <f t="shared" ca="1" si="28"/>
        <v>0</v>
      </c>
      <c r="AF60" s="80">
        <f t="shared" ca="1" si="31"/>
        <v>0</v>
      </c>
    </row>
    <row r="61" spans="1:32">
      <c r="A61" s="79" t="str">
        <f>'CALIBRATION GUIDE'!B112</f>
        <v>068 SWELL_OV_TH_26 069 SWELL_OV_TH_27 070 SWELL_OV_TH_28 071 SWELL_OV_TH_29</v>
      </c>
      <c r="D61" s="88">
        <f t="shared" si="23"/>
        <v>53</v>
      </c>
      <c r="E61" s="88">
        <v>3</v>
      </c>
      <c r="G61" s="88" t="str">
        <f t="shared" ca="1" si="11"/>
        <v>054</v>
      </c>
      <c r="H61" s="90" t="str">
        <f t="shared" ca="1" si="0"/>
        <v>SWELL_OV_TH_12</v>
      </c>
      <c r="I61" s="91" t="str">
        <f t="shared" ca="1" si="1"/>
        <v>0</v>
      </c>
      <c r="J61" s="92" t="s">
        <v>12</v>
      </c>
      <c r="K61" s="92">
        <f t="shared" ca="1" si="35"/>
        <v>0</v>
      </c>
      <c r="L61" s="80"/>
      <c r="N61" s="88">
        <f t="shared" si="24"/>
        <v>196</v>
      </c>
      <c r="O61" s="88">
        <v>3</v>
      </c>
      <c r="Q61" s="88" t="str">
        <f t="shared" ca="1" si="12"/>
        <v>054</v>
      </c>
      <c r="R61" s="90" t="str">
        <f t="shared" ca="1" si="3"/>
        <v>CH_MAX_8</v>
      </c>
      <c r="S61" s="91" t="str">
        <f t="shared" ca="1" si="32"/>
        <v>0</v>
      </c>
      <c r="T61" s="92" t="s">
        <v>15</v>
      </c>
      <c r="U61" s="92">
        <f t="shared" ca="1" si="36"/>
        <v>0</v>
      </c>
      <c r="V61" s="80">
        <f t="shared" ca="1" si="34"/>
        <v>0</v>
      </c>
      <c r="X61" s="88">
        <f t="shared" si="25"/>
        <v>259</v>
      </c>
      <c r="Y61" s="88">
        <v>3</v>
      </c>
      <c r="AA61" s="88" t="str">
        <f t="shared" ca="1" si="13"/>
        <v>054</v>
      </c>
      <c r="AB61" s="90" t="str">
        <f t="shared" ca="1" si="6"/>
        <v>CH22_F</v>
      </c>
      <c r="AC61" s="91" t="str">
        <f t="shared" ca="1" si="33"/>
        <v>0</v>
      </c>
      <c r="AD61" s="92" t="s">
        <v>20</v>
      </c>
      <c r="AE61" s="92">
        <f t="shared" ca="1" si="28"/>
        <v>0</v>
      </c>
      <c r="AF61" s="80">
        <f t="shared" ca="1" si="31"/>
        <v>0</v>
      </c>
    </row>
    <row r="62" spans="1:32">
      <c r="A62" s="79" t="str">
        <f>'CALIBRATION GUIDE'!B113</f>
        <v>0                  0                  0                  0</v>
      </c>
      <c r="D62" s="88">
        <f t="shared" si="23"/>
        <v>53</v>
      </c>
      <c r="E62" s="88">
        <v>4</v>
      </c>
      <c r="G62" s="88" t="str">
        <f t="shared" ca="1" si="11"/>
        <v>055</v>
      </c>
      <c r="H62" s="90" t="str">
        <f t="shared" ca="1" si="0"/>
        <v>SWELL_OV_TH_13</v>
      </c>
      <c r="I62" s="91" t="str">
        <f t="shared" ca="1" si="1"/>
        <v>0</v>
      </c>
      <c r="J62" s="92" t="s">
        <v>12</v>
      </c>
      <c r="K62" s="92">
        <f t="shared" ref="K62:K67" ca="1" si="37">HEX2DEC(IF(AND(LEN(I62)=8,HEX2DEC(LEFT(I62,1))&gt;7),"FF","00")&amp;I62)/2^(0+MID(J62,FIND(".",J62)+1,2))</f>
        <v>0</v>
      </c>
      <c r="L62" s="80"/>
      <c r="N62" s="88">
        <f t="shared" si="24"/>
        <v>196</v>
      </c>
      <c r="O62" s="88">
        <v>4</v>
      </c>
      <c r="Q62" s="88" t="str">
        <f t="shared" ca="1" si="12"/>
        <v>055</v>
      </c>
      <c r="R62" s="90" t="str">
        <f t="shared" ca="1" si="3"/>
        <v>CH_MAX_9</v>
      </c>
      <c r="S62" s="91" t="str">
        <f t="shared" ca="1" si="32"/>
        <v>0</v>
      </c>
      <c r="T62" s="92" t="s">
        <v>15</v>
      </c>
      <c r="U62" s="92">
        <f t="shared" ref="U62:U63" ca="1" si="38">HEX2DEC(IF(AND(LEN(S62)=8,HEX2DEC(LEFT(S62,1))&gt;7),"FF","00")&amp;S62)/2^(0+MID(T62,FIND(".",T62)+1,2))</f>
        <v>0</v>
      </c>
      <c r="V62" s="80">
        <f t="shared" ca="1" si="34"/>
        <v>0</v>
      </c>
      <c r="X62" s="88">
        <f t="shared" si="25"/>
        <v>259</v>
      </c>
      <c r="Y62" s="88">
        <v>4</v>
      </c>
      <c r="AA62" s="88" t="str">
        <f t="shared" ca="1" si="13"/>
        <v>055</v>
      </c>
      <c r="AB62" s="90" t="str">
        <f t="shared" ca="1" si="6"/>
        <v>CH23_F</v>
      </c>
      <c r="AC62" s="91" t="str">
        <f t="shared" ca="1" si="33"/>
        <v>0</v>
      </c>
      <c r="AD62" s="92" t="s">
        <v>20</v>
      </c>
      <c r="AE62" s="92">
        <f t="shared" ca="1" si="28"/>
        <v>0</v>
      </c>
      <c r="AF62" s="80">
        <f t="shared" ca="1" si="31"/>
        <v>0</v>
      </c>
    </row>
    <row r="63" spans="1:32">
      <c r="A63" s="79" t="str">
        <f>'CALIBRATION GUIDE'!B114</f>
        <v>072 SWELL_OV_TH_30 073 SWELL_OV_TH_31 074 SAG_THRES_00   075 SAG_THRES_01</v>
      </c>
      <c r="B63" s="2"/>
      <c r="D63" s="88">
        <f t="shared" si="23"/>
        <v>55</v>
      </c>
      <c r="E63" s="88">
        <v>1</v>
      </c>
      <c r="G63" s="88" t="str">
        <f t="shared" ca="1" si="11"/>
        <v>056</v>
      </c>
      <c r="H63" s="90" t="str">
        <f t="shared" ca="1" si="0"/>
        <v>SWELL_OV_TH_14</v>
      </c>
      <c r="I63" s="91" t="str">
        <f t="shared" ca="1" si="1"/>
        <v>0</v>
      </c>
      <c r="J63" s="92" t="s">
        <v>12</v>
      </c>
      <c r="K63" s="92">
        <f t="shared" ca="1" si="37"/>
        <v>0</v>
      </c>
      <c r="L63" s="80"/>
      <c r="N63" s="88">
        <f t="shared" si="24"/>
        <v>198</v>
      </c>
      <c r="O63" s="88">
        <v>1</v>
      </c>
      <c r="Q63" s="88" t="str">
        <f t="shared" ca="1" si="12"/>
        <v>056</v>
      </c>
      <c r="R63" s="90" t="str">
        <f t="shared" ca="1" si="3"/>
        <v>CH_MAX_10</v>
      </c>
      <c r="S63" s="91" t="str">
        <f t="shared" ca="1" si="32"/>
        <v>0</v>
      </c>
      <c r="T63" s="92" t="s">
        <v>15</v>
      </c>
      <c r="U63" s="92">
        <f t="shared" ca="1" si="38"/>
        <v>0</v>
      </c>
      <c r="V63" s="80">
        <f t="shared" ca="1" si="34"/>
        <v>0</v>
      </c>
      <c r="X63" s="88">
        <f t="shared" si="25"/>
        <v>261</v>
      </c>
      <c r="Y63" s="88">
        <v>1</v>
      </c>
      <c r="AA63" s="88" t="str">
        <f t="shared" ca="1" si="13"/>
        <v>056</v>
      </c>
      <c r="AB63" s="90" t="str">
        <f t="shared" ca="1" si="6"/>
        <v>CH24_F</v>
      </c>
      <c r="AC63" s="91" t="str">
        <f t="shared" ca="1" si="33"/>
        <v>0</v>
      </c>
      <c r="AD63" s="92" t="s">
        <v>20</v>
      </c>
      <c r="AE63" s="92">
        <f t="shared" ca="1" si="28"/>
        <v>0</v>
      </c>
      <c r="AF63" s="80">
        <f t="shared" ca="1" si="31"/>
        <v>0</v>
      </c>
    </row>
    <row r="64" spans="1:32">
      <c r="A64" s="79" t="str">
        <f>'CALIBRATION GUIDE'!B115</f>
        <v>0                  0                  0                  1A2EC26</v>
      </c>
      <c r="D64" s="88">
        <f t="shared" si="23"/>
        <v>55</v>
      </c>
      <c r="E64" s="88">
        <v>2</v>
      </c>
      <c r="G64" s="88" t="str">
        <f t="shared" ca="1" si="11"/>
        <v>057</v>
      </c>
      <c r="H64" s="90" t="str">
        <f t="shared" ca="1" si="0"/>
        <v>SWELL_OV_TH_15</v>
      </c>
      <c r="I64" s="91" t="str">
        <f t="shared" ca="1" si="1"/>
        <v>0</v>
      </c>
      <c r="J64" s="92" t="s">
        <v>12</v>
      </c>
      <c r="K64" s="92">
        <f ca="1">HEX2DEC(IF(AND(LEN(I64)=8,HEX2DEC(LEFT(I64,1))&gt;7),"FF","00")&amp;I64)/2^(0+MID(J64,FIND(".",J64)+1,2))</f>
        <v>0</v>
      </c>
      <c r="L64" s="80"/>
      <c r="N64" s="88">
        <f t="shared" si="24"/>
        <v>198</v>
      </c>
      <c r="O64" s="88">
        <v>2</v>
      </c>
      <c r="Q64" s="88" t="str">
        <f t="shared" ca="1" si="12"/>
        <v>057</v>
      </c>
      <c r="R64" s="90" t="str">
        <f t="shared" ca="1" si="3"/>
        <v>CH_MAX_11</v>
      </c>
      <c r="S64" s="91" t="str">
        <f t="shared" ca="1" si="32"/>
        <v>0</v>
      </c>
      <c r="T64" s="92" t="s">
        <v>15</v>
      </c>
      <c r="U64" s="92">
        <f ca="1">HEX2DEC(IF(AND(LEN(S64)=8,HEX2DEC(LEFT(S64,1))&gt;7),"FF","00")&amp;S64)/2^(0+MID(T64,FIND(".",T64)+1,2))</f>
        <v>0</v>
      </c>
      <c r="V64" s="80">
        <f t="shared" ca="1" si="34"/>
        <v>0</v>
      </c>
      <c r="X64" s="88">
        <f t="shared" si="25"/>
        <v>261</v>
      </c>
      <c r="Y64" s="88">
        <v>2</v>
      </c>
      <c r="AA64" s="88" t="str">
        <f t="shared" ca="1" si="13"/>
        <v>057</v>
      </c>
      <c r="AB64" s="90" t="str">
        <f t="shared" ca="1" si="6"/>
        <v>CH25_F</v>
      </c>
      <c r="AC64" s="91" t="str">
        <f t="shared" ca="1" si="33"/>
        <v>0</v>
      </c>
      <c r="AD64" s="92" t="s">
        <v>20</v>
      </c>
      <c r="AE64" s="92">
        <f t="shared" ca="1" si="28"/>
        <v>0</v>
      </c>
      <c r="AF64" s="80">
        <f t="shared" ca="1" si="31"/>
        <v>0</v>
      </c>
    </row>
    <row r="65" spans="1:32">
      <c r="A65" s="79" t="str">
        <f>'CALIBRATION GUIDE'!B116</f>
        <v>076 SAG_THRES_02   077 SAG_THRES_03   078 SAG_THRES_04   079 SAG_THRES_05</v>
      </c>
      <c r="D65" s="88">
        <f t="shared" si="23"/>
        <v>55</v>
      </c>
      <c r="E65" s="88">
        <v>3</v>
      </c>
      <c r="G65" s="88" t="str">
        <f t="shared" ca="1" si="11"/>
        <v>058</v>
      </c>
      <c r="H65" s="90" t="str">
        <f t="shared" ca="1" si="0"/>
        <v>SWELL_OV_TH_16</v>
      </c>
      <c r="I65" s="91" t="str">
        <f t="shared" ca="1" si="1"/>
        <v>0</v>
      </c>
      <c r="J65" s="92" t="s">
        <v>12</v>
      </c>
      <c r="K65" s="92">
        <f t="shared" ca="1" si="37"/>
        <v>0</v>
      </c>
      <c r="L65" s="80"/>
      <c r="N65" s="88">
        <f t="shared" si="24"/>
        <v>198</v>
      </c>
      <c r="O65" s="88">
        <v>3</v>
      </c>
      <c r="Q65" s="88" t="str">
        <f t="shared" ca="1" si="12"/>
        <v>058</v>
      </c>
      <c r="R65" s="90" t="str">
        <f t="shared" ca="1" si="3"/>
        <v>CH_MAX_12</v>
      </c>
      <c r="S65" s="91" t="str">
        <f t="shared" ca="1" si="32"/>
        <v>0</v>
      </c>
      <c r="T65" s="92" t="s">
        <v>15</v>
      </c>
      <c r="U65" s="92">
        <f t="shared" ref="U65:U128" ca="1" si="39">HEX2DEC(IF(AND(LEN(S65)=8,HEX2DEC(LEFT(S65,1))&gt;7),"FF","00")&amp;S65)/2^(0+MID(T65,FIND(".",T65)+1,2))</f>
        <v>0</v>
      </c>
      <c r="V65" s="80">
        <f t="shared" ca="1" si="34"/>
        <v>0</v>
      </c>
      <c r="X65" s="88">
        <f t="shared" si="25"/>
        <v>261</v>
      </c>
      <c r="Y65" s="88">
        <v>3</v>
      </c>
      <c r="AA65" s="88" t="str">
        <f t="shared" ca="1" si="13"/>
        <v>058</v>
      </c>
      <c r="AB65" s="90" t="str">
        <f t="shared" ca="1" si="6"/>
        <v>CH26_F</v>
      </c>
      <c r="AC65" s="91" t="str">
        <f t="shared" ca="1" si="33"/>
        <v>0</v>
      </c>
      <c r="AD65" s="92" t="s">
        <v>20</v>
      </c>
      <c r="AE65" s="92">
        <f t="shared" ca="1" si="28"/>
        <v>0</v>
      </c>
      <c r="AF65" s="80">
        <f t="shared" ca="1" si="31"/>
        <v>0</v>
      </c>
    </row>
    <row r="66" spans="1:32">
      <c r="A66" s="79" t="str">
        <f>'CALIBRATION GUIDE'!B117</f>
        <v>0                  1A2EC26            0                  1A2EC26</v>
      </c>
      <c r="D66" s="88">
        <f t="shared" si="23"/>
        <v>55</v>
      </c>
      <c r="E66" s="88">
        <v>4</v>
      </c>
      <c r="G66" s="88" t="str">
        <f t="shared" ca="1" si="11"/>
        <v>059</v>
      </c>
      <c r="H66" s="90" t="str">
        <f t="shared" ca="1" si="0"/>
        <v>SWELL_OV_TH_17</v>
      </c>
      <c r="I66" s="91" t="str">
        <f t="shared" ca="1" si="1"/>
        <v>0</v>
      </c>
      <c r="J66" s="92" t="s">
        <v>12</v>
      </c>
      <c r="K66" s="92">
        <f t="shared" ca="1" si="37"/>
        <v>0</v>
      </c>
      <c r="L66" s="80"/>
      <c r="N66" s="88">
        <f t="shared" si="24"/>
        <v>198</v>
      </c>
      <c r="O66" s="88">
        <v>4</v>
      </c>
      <c r="Q66" s="88" t="str">
        <f t="shared" ca="1" si="12"/>
        <v>059</v>
      </c>
      <c r="R66" s="90" t="str">
        <f t="shared" ca="1" si="3"/>
        <v>CH_MAX_13</v>
      </c>
      <c r="S66" s="91" t="str">
        <f t="shared" ca="1" si="32"/>
        <v>0</v>
      </c>
      <c r="T66" s="92" t="s">
        <v>15</v>
      </c>
      <c r="U66" s="92">
        <f t="shared" ca="1" si="39"/>
        <v>0</v>
      </c>
      <c r="V66" s="80">
        <f t="shared" ca="1" si="34"/>
        <v>0</v>
      </c>
      <c r="X66" s="88">
        <f t="shared" si="25"/>
        <v>261</v>
      </c>
      <c r="Y66" s="88">
        <v>4</v>
      </c>
      <c r="AA66" s="88" t="str">
        <f t="shared" ca="1" si="13"/>
        <v>059</v>
      </c>
      <c r="AB66" s="90" t="str">
        <f t="shared" ca="1" si="6"/>
        <v>CH27_F</v>
      </c>
      <c r="AC66" s="91" t="str">
        <f t="shared" ca="1" si="33"/>
        <v>0</v>
      </c>
      <c r="AD66" s="92" t="s">
        <v>20</v>
      </c>
      <c r="AE66" s="92">
        <f t="shared" ca="1" si="28"/>
        <v>0</v>
      </c>
      <c r="AF66" s="80">
        <f t="shared" ca="1" si="31"/>
        <v>0</v>
      </c>
    </row>
    <row r="67" spans="1:32">
      <c r="A67" s="79" t="str">
        <f>'CALIBRATION GUIDE'!B118</f>
        <v>080 SAG_THRES_06   081 SAG_THRES_07   082 SAG_THRES_08   083 SAG_THRES_09</v>
      </c>
      <c r="D67" s="88">
        <f t="shared" si="23"/>
        <v>57</v>
      </c>
      <c r="E67" s="88">
        <v>1</v>
      </c>
      <c r="G67" s="88" t="str">
        <f t="shared" ca="1" si="11"/>
        <v>060</v>
      </c>
      <c r="H67" s="90" t="str">
        <f t="shared" ca="1" si="0"/>
        <v>SWELL_OV_TH_18</v>
      </c>
      <c r="I67" s="91" t="str">
        <f t="shared" ca="1" si="1"/>
        <v>0</v>
      </c>
      <c r="J67" s="92" t="s">
        <v>12</v>
      </c>
      <c r="K67" s="92">
        <f t="shared" ca="1" si="37"/>
        <v>0</v>
      </c>
      <c r="L67" s="80"/>
      <c r="N67" s="88">
        <f t="shared" si="24"/>
        <v>200</v>
      </c>
      <c r="O67" s="88">
        <v>1</v>
      </c>
      <c r="Q67" s="88" t="str">
        <f t="shared" ca="1" si="12"/>
        <v>060</v>
      </c>
      <c r="R67" s="90" t="str">
        <f t="shared" ca="1" si="3"/>
        <v>CH_MAX_14</v>
      </c>
      <c r="S67" s="91" t="str">
        <f t="shared" ca="1" si="32"/>
        <v>0</v>
      </c>
      <c r="T67" s="92" t="s">
        <v>15</v>
      </c>
      <c r="U67" s="92">
        <f t="shared" ca="1" si="39"/>
        <v>0</v>
      </c>
      <c r="V67" s="80">
        <f t="shared" ca="1" si="34"/>
        <v>0</v>
      </c>
      <c r="X67" s="88">
        <f t="shared" si="25"/>
        <v>263</v>
      </c>
      <c r="Y67" s="88">
        <v>1</v>
      </c>
      <c r="AA67" s="88" t="str">
        <f t="shared" ca="1" si="13"/>
        <v>060</v>
      </c>
      <c r="AB67" s="90" t="str">
        <f t="shared" ca="1" si="6"/>
        <v>CH28_F</v>
      </c>
      <c r="AC67" s="91" t="str">
        <f t="shared" ca="1" si="33"/>
        <v>0</v>
      </c>
      <c r="AD67" s="92" t="s">
        <v>20</v>
      </c>
      <c r="AE67" s="92">
        <f t="shared" ca="1" si="28"/>
        <v>0</v>
      </c>
      <c r="AF67" s="80">
        <f t="shared" ca="1" si="31"/>
        <v>0</v>
      </c>
    </row>
    <row r="68" spans="1:32">
      <c r="A68" s="79" t="str">
        <f>'CALIBRATION GUIDE'!B119</f>
        <v>0                  1A2EC26            0                  1A2EC26</v>
      </c>
      <c r="B68" s="2"/>
      <c r="D68" s="88">
        <f t="shared" si="23"/>
        <v>57</v>
      </c>
      <c r="E68" s="88">
        <v>2</v>
      </c>
      <c r="G68" s="88" t="str">
        <f t="shared" ca="1" si="11"/>
        <v>061</v>
      </c>
      <c r="H68" s="90" t="str">
        <f t="shared" ref="H68" ca="1" si="40">TRIM(MID(INDIRECT(ADDRESS(D68,1)),(E68-1)*19+4,16))</f>
        <v>SWELL_OV_TH_19</v>
      </c>
      <c r="I68" s="91" t="str">
        <f t="shared" ref="I68" ca="1" si="41">TRIM(MID(INDIRECT(ADDRESS(D68+1,1)),(E68-1)*19+1,19))</f>
        <v>0</v>
      </c>
      <c r="J68" s="92" t="s">
        <v>12</v>
      </c>
      <c r="K68" s="92">
        <f t="shared" ref="K68:K103" ca="1" si="42">HEX2DEC(IF(AND(LEN(I68)=8,HEX2DEC(LEFT(I68,1))&gt;7),"FF","00")&amp;I68)/2^(0+MID(J68,FIND(".",J68)+1,2))</f>
        <v>0</v>
      </c>
      <c r="L68" s="80"/>
      <c r="N68" s="88">
        <f t="shared" si="24"/>
        <v>200</v>
      </c>
      <c r="O68" s="88">
        <v>2</v>
      </c>
      <c r="Q68" s="88" t="str">
        <f t="shared" ca="1" si="12"/>
        <v>061</v>
      </c>
      <c r="R68" s="90" t="str">
        <f t="shared" ca="1" si="3"/>
        <v>CH_MAX_15</v>
      </c>
      <c r="S68" s="91" t="str">
        <f t="shared" ca="1" si="32"/>
        <v>0</v>
      </c>
      <c r="T68" s="92" t="s">
        <v>15</v>
      </c>
      <c r="U68" s="92">
        <f t="shared" ca="1" si="39"/>
        <v>0</v>
      </c>
      <c r="V68" s="80">
        <f t="shared" ca="1" si="34"/>
        <v>0</v>
      </c>
      <c r="X68" s="88">
        <f t="shared" si="25"/>
        <v>263</v>
      </c>
      <c r="Y68" s="88">
        <v>2</v>
      </c>
      <c r="AA68" s="88" t="str">
        <f t="shared" ca="1" si="13"/>
        <v>061</v>
      </c>
      <c r="AB68" s="90" t="str">
        <f t="shared" ca="1" si="6"/>
        <v>CH29_F</v>
      </c>
      <c r="AC68" s="91" t="str">
        <f t="shared" ca="1" si="33"/>
        <v>0</v>
      </c>
      <c r="AD68" s="92" t="s">
        <v>20</v>
      </c>
      <c r="AE68" s="92">
        <f t="shared" ca="1" si="28"/>
        <v>0</v>
      </c>
      <c r="AF68" s="80">
        <f t="shared" ca="1" si="31"/>
        <v>0</v>
      </c>
    </row>
    <row r="69" spans="1:32">
      <c r="A69" s="79" t="str">
        <f>'CALIBRATION GUIDE'!B120</f>
        <v>084 SAG_THRES_10   085 SAG_THRES_11   086 SAG_THRES_12   087 SAG_THRES_13</v>
      </c>
      <c r="B69" s="2"/>
      <c r="D69" s="88">
        <f t="shared" si="23"/>
        <v>57</v>
      </c>
      <c r="E69" s="88">
        <v>3</v>
      </c>
      <c r="G69" s="88" t="str">
        <f t="shared" ca="1" si="11"/>
        <v>062</v>
      </c>
      <c r="H69" s="90" t="str">
        <f t="shared" ca="1" si="0"/>
        <v>SWELL_OV_TH_20</v>
      </c>
      <c r="I69" s="91" t="str">
        <f t="shared" ca="1" si="1"/>
        <v>0</v>
      </c>
      <c r="J69" s="92" t="s">
        <v>12</v>
      </c>
      <c r="K69" s="92">
        <f t="shared" ca="1" si="42"/>
        <v>0</v>
      </c>
      <c r="L69" s="80"/>
      <c r="N69" s="88">
        <f t="shared" si="24"/>
        <v>200</v>
      </c>
      <c r="O69" s="88">
        <v>3</v>
      </c>
      <c r="Q69" s="88" t="str">
        <f t="shared" ca="1" si="12"/>
        <v>062</v>
      </c>
      <c r="R69" s="90" t="str">
        <f t="shared" ca="1" si="3"/>
        <v>CH_MAX_16</v>
      </c>
      <c r="S69" s="91" t="str">
        <f t="shared" ca="1" si="32"/>
        <v>0</v>
      </c>
      <c r="T69" s="92" t="s">
        <v>15</v>
      </c>
      <c r="U69" s="92">
        <f t="shared" ca="1" si="39"/>
        <v>0</v>
      </c>
      <c r="V69" s="80">
        <f t="shared" ca="1" si="34"/>
        <v>0</v>
      </c>
      <c r="X69" s="88">
        <f t="shared" si="25"/>
        <v>263</v>
      </c>
      <c r="Y69" s="88">
        <v>3</v>
      </c>
      <c r="AA69" s="88" t="str">
        <f t="shared" ca="1" si="13"/>
        <v>062</v>
      </c>
      <c r="AB69" s="90" t="str">
        <f t="shared" ca="1" si="6"/>
        <v>CH30_F</v>
      </c>
      <c r="AC69" s="91" t="str">
        <f t="shared" ca="1" si="33"/>
        <v>0</v>
      </c>
      <c r="AD69" s="92" t="s">
        <v>20</v>
      </c>
      <c r="AE69" s="92">
        <f t="shared" ca="1" si="28"/>
        <v>0</v>
      </c>
      <c r="AF69" s="80">
        <f t="shared" ca="1" si="31"/>
        <v>0</v>
      </c>
    </row>
    <row r="70" spans="1:32">
      <c r="A70" s="79" t="str">
        <f>'CALIBRATION GUIDE'!B121</f>
        <v>0                  1A2EC26            0                  0</v>
      </c>
      <c r="B70" s="2"/>
      <c r="D70" s="88">
        <f t="shared" si="23"/>
        <v>57</v>
      </c>
      <c r="E70" s="88">
        <v>4</v>
      </c>
      <c r="G70" s="88" t="str">
        <f t="shared" ca="1" si="11"/>
        <v>063</v>
      </c>
      <c r="H70" s="90" t="str">
        <f t="shared" ca="1" si="0"/>
        <v>SWELL_OV_TH_21</v>
      </c>
      <c r="I70" s="91" t="str">
        <f t="shared" ca="1" si="1"/>
        <v>0</v>
      </c>
      <c r="J70" s="92" t="s">
        <v>12</v>
      </c>
      <c r="K70" s="92">
        <f t="shared" ca="1" si="42"/>
        <v>0</v>
      </c>
      <c r="L70" s="80"/>
      <c r="N70" s="88">
        <f t="shared" si="24"/>
        <v>200</v>
      </c>
      <c r="O70" s="88">
        <v>4</v>
      </c>
      <c r="Q70" s="88" t="str">
        <f t="shared" ca="1" si="12"/>
        <v>063</v>
      </c>
      <c r="R70" s="90" t="str">
        <f t="shared" ca="1" si="3"/>
        <v>CH_MAX_17</v>
      </c>
      <c r="S70" s="91" t="str">
        <f t="shared" ca="1" si="32"/>
        <v>0</v>
      </c>
      <c r="T70" s="92" t="s">
        <v>15</v>
      </c>
      <c r="U70" s="92">
        <f t="shared" ca="1" si="39"/>
        <v>0</v>
      </c>
      <c r="V70" s="80">
        <f t="shared" ca="1" si="34"/>
        <v>0</v>
      </c>
      <c r="X70" s="88">
        <f t="shared" si="25"/>
        <v>263</v>
      </c>
      <c r="Y70" s="88">
        <v>4</v>
      </c>
      <c r="AA70" s="88" t="str">
        <f t="shared" ca="1" si="13"/>
        <v>063</v>
      </c>
      <c r="AB70" s="90" t="str">
        <f t="shared" ca="1" si="6"/>
        <v>CH31_F</v>
      </c>
      <c r="AC70" s="91" t="str">
        <f t="shared" ca="1" si="33"/>
        <v>0</v>
      </c>
      <c r="AD70" s="92" t="s">
        <v>20</v>
      </c>
      <c r="AE70" s="92">
        <f t="shared" ca="1" si="28"/>
        <v>0</v>
      </c>
      <c r="AF70" s="80">
        <f t="shared" ca="1" si="31"/>
        <v>0</v>
      </c>
    </row>
    <row r="71" spans="1:32">
      <c r="A71" s="79" t="str">
        <f>'CALIBRATION GUIDE'!B122</f>
        <v>088 SAG_THRES_14   089 SAG_THRES_15   090 SAG_THRES_16   091 SAG_THRES_17</v>
      </c>
      <c r="B71" s="2"/>
      <c r="D71" s="88">
        <f t="shared" si="23"/>
        <v>59</v>
      </c>
      <c r="E71" s="88">
        <v>1</v>
      </c>
      <c r="G71" s="88" t="str">
        <f t="shared" ca="1" si="11"/>
        <v>064</v>
      </c>
      <c r="H71" s="90" t="str">
        <f t="shared" ref="H71:H103" ca="1" si="43">TRIM(MID(INDIRECT(ADDRESS(D71,1)),(E71-1)*19+4,16))</f>
        <v>SWELL_OV_TH_22</v>
      </c>
      <c r="I71" s="91" t="str">
        <f t="shared" ref="I71:I103" ca="1" si="44">TRIM(MID(INDIRECT(ADDRESS(D71+1,1)),(E71-1)*19+1,19))</f>
        <v>0</v>
      </c>
      <c r="J71" s="92" t="s">
        <v>12</v>
      </c>
      <c r="K71" s="92">
        <f t="shared" ca="1" si="42"/>
        <v>0</v>
      </c>
      <c r="L71" s="80"/>
      <c r="N71" s="88">
        <f t="shared" si="24"/>
        <v>202</v>
      </c>
      <c r="O71" s="88">
        <v>1</v>
      </c>
      <c r="Q71" s="88" t="str">
        <f t="shared" ca="1" si="12"/>
        <v>064</v>
      </c>
      <c r="R71" s="90" t="str">
        <f t="shared" ref="R71:R128" ca="1" si="45">TRIM(MID(INDIRECT(ADDRESS(N71,1)),(O71-1)*19+4,16))</f>
        <v>CH_MAX_18</v>
      </c>
      <c r="S71" s="91" t="str">
        <f t="shared" ca="1" si="32"/>
        <v>0</v>
      </c>
      <c r="T71" s="92" t="s">
        <v>15</v>
      </c>
      <c r="U71" s="92">
        <f t="shared" ca="1" si="39"/>
        <v>0</v>
      </c>
      <c r="V71" s="80">
        <f t="shared" ca="1" si="34"/>
        <v>0</v>
      </c>
      <c r="X71" s="88">
        <f t="shared" si="25"/>
        <v>265</v>
      </c>
      <c r="Y71" s="88">
        <v>1</v>
      </c>
      <c r="AA71" s="88" t="str">
        <f t="shared" ca="1" si="13"/>
        <v>064</v>
      </c>
      <c r="AB71" s="90" t="str">
        <f t="shared" ref="AB71:AB134" ca="1" si="46">TRIM(MID(INDIRECT(ADDRESS(X71,1)),(Y71-1)*19+4,16))</f>
        <v>P_CH0</v>
      </c>
      <c r="AC71" s="91" t="str">
        <f t="shared" ca="1" si="33"/>
        <v>CF2D6DB9C86</v>
      </c>
      <c r="AD71" s="92" t="s">
        <v>21</v>
      </c>
      <c r="AE71" s="92">
        <f t="shared" ca="1" si="28"/>
        <v>12.948590970720034</v>
      </c>
      <c r="AF71" s="80"/>
    </row>
    <row r="72" spans="1:32">
      <c r="A72" s="79" t="str">
        <f>'CALIBRATION GUIDE'!B123</f>
        <v>0                  0                  0                  0</v>
      </c>
      <c r="B72" s="2"/>
      <c r="D72" s="88">
        <f t="shared" si="23"/>
        <v>59</v>
      </c>
      <c r="E72" s="88">
        <v>2</v>
      </c>
      <c r="G72" s="88" t="str">
        <f t="shared" ref="G72:G103" ca="1" si="47">MID(INDIRECT(ADDRESS(D72,1)),(E72-1)*19+1,3)</f>
        <v>065</v>
      </c>
      <c r="H72" s="90" t="str">
        <f t="shared" ca="1" si="43"/>
        <v>SWELL_OV_TH_23</v>
      </c>
      <c r="I72" s="91" t="str">
        <f t="shared" ca="1" si="44"/>
        <v>0</v>
      </c>
      <c r="J72" s="92" t="s">
        <v>12</v>
      </c>
      <c r="K72" s="92">
        <f t="shared" ca="1" si="42"/>
        <v>0</v>
      </c>
      <c r="L72" s="80"/>
      <c r="N72" s="88">
        <f t="shared" si="24"/>
        <v>202</v>
      </c>
      <c r="O72" s="88">
        <v>2</v>
      </c>
      <c r="Q72" s="88" t="str">
        <f t="shared" ref="Q72:Q128" ca="1" si="48">MID(INDIRECT(ADDRESS(N72,1)),(O72-1)*19+1,3)</f>
        <v>065</v>
      </c>
      <c r="R72" s="90" t="str">
        <f t="shared" ca="1" si="45"/>
        <v>CH_MAX_19</v>
      </c>
      <c r="S72" s="91" t="str">
        <f t="shared" ca="1" si="32"/>
        <v>0</v>
      </c>
      <c r="T72" s="92" t="s">
        <v>15</v>
      </c>
      <c r="U72" s="92">
        <f t="shared" ca="1" si="39"/>
        <v>0</v>
      </c>
      <c r="V72" s="80">
        <f t="shared" ca="1" si="34"/>
        <v>0</v>
      </c>
      <c r="X72" s="88">
        <f t="shared" si="25"/>
        <v>265</v>
      </c>
      <c r="Y72" s="88">
        <v>2</v>
      </c>
      <c r="AA72" s="88" t="str">
        <f t="shared" ref="AA72:AA135" ca="1" si="49">MID(INDIRECT(ADDRESS(X72,1)),(Y72-1)*19+1,3)</f>
        <v>065</v>
      </c>
      <c r="AB72" s="90" t="str">
        <f t="shared" ca="1" si="46"/>
        <v>P_CH1</v>
      </c>
      <c r="AC72" s="91" t="str">
        <f t="shared" ca="1" si="33"/>
        <v>CE9D1A16E6E</v>
      </c>
      <c r="AD72" s="92" t="s">
        <v>21</v>
      </c>
      <c r="AE72" s="92">
        <f t="shared" ca="1" si="28"/>
        <v>12.913354958973287</v>
      </c>
      <c r="AF72" s="80"/>
    </row>
    <row r="73" spans="1:32">
      <c r="A73" s="79" t="str">
        <f>'CALIBRATION GUIDE'!B124</f>
        <v>092 SAG_THRES_18   093 SAG_THRES_19   094 SAG_THRES_20   095 SAG_THRES_21</v>
      </c>
      <c r="B73" s="2"/>
      <c r="D73" s="88">
        <f t="shared" si="23"/>
        <v>59</v>
      </c>
      <c r="E73" s="88">
        <v>3</v>
      </c>
      <c r="G73" s="88" t="str">
        <f t="shared" ca="1" si="47"/>
        <v>066</v>
      </c>
      <c r="H73" s="90" t="str">
        <f t="shared" ca="1" si="43"/>
        <v>SWELL_OV_TH_24</v>
      </c>
      <c r="I73" s="91" t="str">
        <f t="shared" ca="1" si="44"/>
        <v>0</v>
      </c>
      <c r="J73" s="92" t="s">
        <v>12</v>
      </c>
      <c r="K73" s="92">
        <f t="shared" ca="1" si="42"/>
        <v>0</v>
      </c>
      <c r="L73" s="80"/>
      <c r="N73" s="88">
        <f t="shared" si="24"/>
        <v>202</v>
      </c>
      <c r="O73" s="88">
        <v>3</v>
      </c>
      <c r="Q73" s="88" t="str">
        <f t="shared" ca="1" si="48"/>
        <v>066</v>
      </c>
      <c r="R73" s="90" t="str">
        <f t="shared" ca="1" si="45"/>
        <v>CH_MAX_20</v>
      </c>
      <c r="S73" s="91" t="str">
        <f t="shared" ca="1" si="32"/>
        <v>0</v>
      </c>
      <c r="T73" s="92" t="s">
        <v>15</v>
      </c>
      <c r="U73" s="92">
        <f t="shared" ca="1" si="39"/>
        <v>0</v>
      </c>
      <c r="V73" s="80">
        <f t="shared" ca="1" si="34"/>
        <v>0</v>
      </c>
      <c r="X73" s="88">
        <f t="shared" si="25"/>
        <v>265</v>
      </c>
      <c r="Y73" s="88">
        <v>3</v>
      </c>
      <c r="AA73" s="88" t="str">
        <f t="shared" ca="1" si="49"/>
        <v>066</v>
      </c>
      <c r="AB73" s="90" t="str">
        <f t="shared" ca="1" si="46"/>
        <v>P_CH2</v>
      </c>
      <c r="AC73" s="91" t="str">
        <f t="shared" ca="1" si="33"/>
        <v>CE97FA1EA38</v>
      </c>
      <c r="AD73" s="92" t="s">
        <v>21</v>
      </c>
      <c r="AE73" s="92">
        <f t="shared" ca="1" si="28"/>
        <v>12.912103767092049</v>
      </c>
      <c r="AF73" s="80"/>
    </row>
    <row r="74" spans="1:32">
      <c r="A74" s="79" t="str">
        <f>'CALIBRATION GUIDE'!B125</f>
        <v>0                  0                  0                  0</v>
      </c>
      <c r="D74" s="88">
        <f t="shared" si="23"/>
        <v>59</v>
      </c>
      <c r="E74" s="88">
        <v>4</v>
      </c>
      <c r="G74" s="88" t="str">
        <f t="shared" ca="1" si="47"/>
        <v>067</v>
      </c>
      <c r="H74" s="90" t="str">
        <f t="shared" ca="1" si="43"/>
        <v>SWELL_OV_TH_25</v>
      </c>
      <c r="I74" s="91" t="str">
        <f t="shared" ca="1" si="44"/>
        <v>0</v>
      </c>
      <c r="J74" s="92" t="s">
        <v>12</v>
      </c>
      <c r="K74" s="92">
        <f t="shared" ca="1" si="42"/>
        <v>0</v>
      </c>
      <c r="L74" s="80"/>
      <c r="N74" s="88">
        <f t="shared" si="24"/>
        <v>202</v>
      </c>
      <c r="O74" s="88">
        <v>4</v>
      </c>
      <c r="Q74" s="88" t="str">
        <f t="shared" ca="1" si="48"/>
        <v>067</v>
      </c>
      <c r="R74" s="90" t="str">
        <f t="shared" ca="1" si="45"/>
        <v>CH_MAX_21</v>
      </c>
      <c r="S74" s="91" t="str">
        <f t="shared" ca="1" si="32"/>
        <v>0</v>
      </c>
      <c r="T74" s="92" t="s">
        <v>15</v>
      </c>
      <c r="U74" s="92">
        <f t="shared" ca="1" si="39"/>
        <v>0</v>
      </c>
      <c r="V74" s="80">
        <f t="shared" ca="1" si="34"/>
        <v>0</v>
      </c>
      <c r="X74" s="88">
        <f t="shared" si="25"/>
        <v>265</v>
      </c>
      <c r="Y74" s="88">
        <v>4</v>
      </c>
      <c r="AA74" s="88" t="str">
        <f t="shared" ca="1" si="49"/>
        <v>067</v>
      </c>
      <c r="AB74" s="90" t="str">
        <f t="shared" ca="1" si="46"/>
        <v>P_CH3</v>
      </c>
      <c r="AC74" s="91" t="str">
        <f t="shared" ca="1" si="33"/>
        <v>0</v>
      </c>
      <c r="AD74" s="92" t="s">
        <v>21</v>
      </c>
      <c r="AE74" s="92">
        <f t="shared" ca="1" si="28"/>
        <v>0</v>
      </c>
      <c r="AF74" s="80"/>
    </row>
    <row r="75" spans="1:32">
      <c r="A75" s="79" t="str">
        <f>'CALIBRATION GUIDE'!B126</f>
        <v>096 SAG_THRES_22   097 SAG_THRES_23   098 SAG_THRES_24   099 SAG_THRES_25</v>
      </c>
      <c r="D75" s="88">
        <f t="shared" si="23"/>
        <v>61</v>
      </c>
      <c r="E75" s="88">
        <v>1</v>
      </c>
      <c r="G75" s="88" t="str">
        <f t="shared" ca="1" si="47"/>
        <v>068</v>
      </c>
      <c r="H75" s="90" t="str">
        <f t="shared" ca="1" si="43"/>
        <v>SWELL_OV_TH_26</v>
      </c>
      <c r="I75" s="91" t="str">
        <f t="shared" ca="1" si="44"/>
        <v>0</v>
      </c>
      <c r="J75" s="92" t="s">
        <v>12</v>
      </c>
      <c r="K75" s="92">
        <f t="shared" ca="1" si="42"/>
        <v>0</v>
      </c>
      <c r="L75" s="80"/>
      <c r="N75" s="88">
        <f t="shared" si="24"/>
        <v>204</v>
      </c>
      <c r="O75" s="88">
        <v>1</v>
      </c>
      <c r="Q75" s="88" t="str">
        <f t="shared" ca="1" si="48"/>
        <v>068</v>
      </c>
      <c r="R75" s="90" t="str">
        <f t="shared" ca="1" si="45"/>
        <v>CH_MAX_22</v>
      </c>
      <c r="S75" s="91" t="str">
        <f t="shared" ca="1" si="32"/>
        <v>0</v>
      </c>
      <c r="T75" s="92" t="s">
        <v>15</v>
      </c>
      <c r="U75" s="92">
        <f t="shared" ca="1" si="39"/>
        <v>0</v>
      </c>
      <c r="V75" s="80">
        <f t="shared" ca="1" si="34"/>
        <v>0</v>
      </c>
      <c r="X75" s="88">
        <f t="shared" si="25"/>
        <v>267</v>
      </c>
      <c r="Y75" s="88">
        <v>1</v>
      </c>
      <c r="AA75" s="88" t="str">
        <f t="shared" ca="1" si="49"/>
        <v>068</v>
      </c>
      <c r="AB75" s="90" t="str">
        <f t="shared" ca="1" si="46"/>
        <v>P_CH4</v>
      </c>
      <c r="AC75" s="91" t="str">
        <f t="shared" ca="1" si="33"/>
        <v>0</v>
      </c>
      <c r="AD75" s="92" t="s">
        <v>21</v>
      </c>
      <c r="AE75" s="92">
        <f t="shared" ca="1" si="28"/>
        <v>0</v>
      </c>
      <c r="AF75" s="80"/>
    </row>
    <row r="76" spans="1:32">
      <c r="A76" s="79" t="str">
        <f>'CALIBRATION GUIDE'!B127</f>
        <v>0                  0                  0                  0</v>
      </c>
      <c r="D76" s="88">
        <f t="shared" ref="D76:D139" si="50">D72+2</f>
        <v>61</v>
      </c>
      <c r="E76" s="88">
        <v>2</v>
      </c>
      <c r="G76" s="88" t="str">
        <f t="shared" ca="1" si="47"/>
        <v>069</v>
      </c>
      <c r="H76" s="90" t="str">
        <f t="shared" ca="1" si="43"/>
        <v>SWELL_OV_TH_27</v>
      </c>
      <c r="I76" s="91" t="str">
        <f t="shared" ca="1" si="44"/>
        <v>0</v>
      </c>
      <c r="J76" s="92" t="s">
        <v>12</v>
      </c>
      <c r="K76" s="92">
        <f t="shared" ca="1" si="42"/>
        <v>0</v>
      </c>
      <c r="L76" s="80"/>
      <c r="N76" s="88">
        <f t="shared" ref="N76:N128" si="51">N72+2</f>
        <v>204</v>
      </c>
      <c r="O76" s="88">
        <v>2</v>
      </c>
      <c r="Q76" s="88" t="str">
        <f t="shared" ca="1" si="48"/>
        <v>069</v>
      </c>
      <c r="R76" s="90" t="str">
        <f t="shared" ca="1" si="45"/>
        <v>CH_MAX_23</v>
      </c>
      <c r="S76" s="91" t="str">
        <f t="shared" ca="1" si="32"/>
        <v>0</v>
      </c>
      <c r="T76" s="92" t="s">
        <v>15</v>
      </c>
      <c r="U76" s="92">
        <f t="shared" ca="1" si="39"/>
        <v>0</v>
      </c>
      <c r="V76" s="80">
        <f t="shared" ca="1" si="34"/>
        <v>0</v>
      </c>
      <c r="X76" s="88">
        <f t="shared" ref="X76:X139" si="52">X72+2</f>
        <v>267</v>
      </c>
      <c r="Y76" s="88">
        <v>2</v>
      </c>
      <c r="AA76" s="88" t="str">
        <f t="shared" ca="1" si="49"/>
        <v>069</v>
      </c>
      <c r="AB76" s="90" t="str">
        <f t="shared" ca="1" si="46"/>
        <v>P_CH5</v>
      </c>
      <c r="AC76" s="91" t="str">
        <f t="shared" ca="1" si="33"/>
        <v>0</v>
      </c>
      <c r="AD76" s="92" t="s">
        <v>21</v>
      </c>
      <c r="AE76" s="92">
        <f t="shared" ca="1" si="28"/>
        <v>0</v>
      </c>
      <c r="AF76" s="80"/>
    </row>
    <row r="77" spans="1:32">
      <c r="A77" s="79" t="str">
        <f>'CALIBRATION GUIDE'!B128</f>
        <v>100 SAG_THRES_26   101 SAG_THRES_27   102 SAG_THRES_28   103 SAG_THRES_29</v>
      </c>
      <c r="D77" s="88">
        <f t="shared" si="50"/>
        <v>61</v>
      </c>
      <c r="E77" s="88">
        <v>3</v>
      </c>
      <c r="G77" s="88" t="str">
        <f t="shared" ca="1" si="47"/>
        <v>070</v>
      </c>
      <c r="H77" s="90" t="str">
        <f t="shared" ca="1" si="43"/>
        <v>SWELL_OV_TH_28</v>
      </c>
      <c r="I77" s="91" t="str">
        <f t="shared" ca="1" si="44"/>
        <v>0</v>
      </c>
      <c r="J77" s="92" t="s">
        <v>12</v>
      </c>
      <c r="K77" s="92">
        <f t="shared" ca="1" si="42"/>
        <v>0</v>
      </c>
      <c r="L77" s="80"/>
      <c r="N77" s="88">
        <f t="shared" si="51"/>
        <v>204</v>
      </c>
      <c r="O77" s="88">
        <v>3</v>
      </c>
      <c r="Q77" s="88" t="str">
        <f t="shared" ca="1" si="48"/>
        <v>070</v>
      </c>
      <c r="R77" s="90" t="str">
        <f t="shared" ca="1" si="45"/>
        <v>CH_MAX_24</v>
      </c>
      <c r="S77" s="91" t="str">
        <f t="shared" ca="1" si="32"/>
        <v>0</v>
      </c>
      <c r="T77" s="92" t="s">
        <v>15</v>
      </c>
      <c r="U77" s="92">
        <f t="shared" ca="1" si="39"/>
        <v>0</v>
      </c>
      <c r="V77" s="80">
        <f t="shared" ca="1" si="34"/>
        <v>0</v>
      </c>
      <c r="X77" s="88">
        <f t="shared" si="52"/>
        <v>267</v>
      </c>
      <c r="Y77" s="88">
        <v>3</v>
      </c>
      <c r="AA77" s="88" t="str">
        <f t="shared" ca="1" si="49"/>
        <v>070</v>
      </c>
      <c r="AB77" s="90" t="str">
        <f t="shared" ca="1" si="46"/>
        <v>P_CH6</v>
      </c>
      <c r="AC77" s="91" t="str">
        <f t="shared" ca="1" si="33"/>
        <v>0</v>
      </c>
      <c r="AD77" s="92" t="s">
        <v>21</v>
      </c>
      <c r="AE77" s="92">
        <f t="shared" ca="1" si="28"/>
        <v>0</v>
      </c>
      <c r="AF77" s="80"/>
    </row>
    <row r="78" spans="1:32">
      <c r="A78" s="79" t="str">
        <f>'CALIBRATION GUIDE'!B129</f>
        <v>0                  0                  0                  0</v>
      </c>
      <c r="D78" s="88">
        <f t="shared" si="50"/>
        <v>61</v>
      </c>
      <c r="E78" s="88">
        <v>4</v>
      </c>
      <c r="G78" s="88" t="str">
        <f t="shared" ca="1" si="47"/>
        <v>071</v>
      </c>
      <c r="H78" s="90" t="str">
        <f t="shared" ca="1" si="43"/>
        <v>SWELL_OV_TH_29</v>
      </c>
      <c r="I78" s="91" t="str">
        <f t="shared" ca="1" si="44"/>
        <v>0</v>
      </c>
      <c r="J78" s="92" t="s">
        <v>12</v>
      </c>
      <c r="K78" s="92">
        <f t="shared" ca="1" si="42"/>
        <v>0</v>
      </c>
      <c r="L78" s="80"/>
      <c r="N78" s="88">
        <f t="shared" si="51"/>
        <v>204</v>
      </c>
      <c r="O78" s="88">
        <v>4</v>
      </c>
      <c r="Q78" s="88" t="str">
        <f t="shared" ca="1" si="48"/>
        <v>071</v>
      </c>
      <c r="R78" s="90" t="str">
        <f t="shared" ca="1" si="45"/>
        <v>CH_MAX_25</v>
      </c>
      <c r="S78" s="91" t="str">
        <f t="shared" ca="1" si="32"/>
        <v>0</v>
      </c>
      <c r="T78" s="92" t="s">
        <v>15</v>
      </c>
      <c r="U78" s="92">
        <f t="shared" ca="1" si="39"/>
        <v>0</v>
      </c>
      <c r="V78" s="80">
        <f t="shared" ca="1" si="34"/>
        <v>0</v>
      </c>
      <c r="X78" s="88">
        <f t="shared" si="52"/>
        <v>267</v>
      </c>
      <c r="Y78" s="88">
        <v>4</v>
      </c>
      <c r="AA78" s="88" t="str">
        <f t="shared" ca="1" si="49"/>
        <v>071</v>
      </c>
      <c r="AB78" s="90" t="str">
        <f t="shared" ca="1" si="46"/>
        <v>P_CH7</v>
      </c>
      <c r="AC78" s="91" t="str">
        <f t="shared" ca="1" si="33"/>
        <v>0</v>
      </c>
      <c r="AD78" s="92" t="s">
        <v>21</v>
      </c>
      <c r="AE78" s="92">
        <f t="shared" ca="1" si="28"/>
        <v>0</v>
      </c>
      <c r="AF78" s="80"/>
    </row>
    <row r="79" spans="1:32">
      <c r="A79" s="79" t="str">
        <f>'CALIBRATION GUIDE'!B130</f>
        <v>104 SAG_THRES_30   105 SAG_THRES_31   106 K_00           107 K_01</v>
      </c>
      <c r="D79" s="88">
        <f t="shared" si="50"/>
        <v>63</v>
      </c>
      <c r="E79" s="88">
        <v>1</v>
      </c>
      <c r="G79" s="88" t="str">
        <f t="shared" ca="1" si="47"/>
        <v>072</v>
      </c>
      <c r="H79" s="90" t="str">
        <f t="shared" ca="1" si="43"/>
        <v>SWELL_OV_TH_30</v>
      </c>
      <c r="I79" s="91" t="str">
        <f t="shared" ca="1" si="44"/>
        <v>0</v>
      </c>
      <c r="J79" s="92" t="s">
        <v>12</v>
      </c>
      <c r="K79" s="92">
        <f t="shared" ca="1" si="42"/>
        <v>0</v>
      </c>
      <c r="L79" s="80"/>
      <c r="N79" s="88">
        <f t="shared" si="51"/>
        <v>206</v>
      </c>
      <c r="O79" s="88">
        <v>1</v>
      </c>
      <c r="Q79" s="88" t="str">
        <f t="shared" ca="1" si="48"/>
        <v>072</v>
      </c>
      <c r="R79" s="90" t="str">
        <f t="shared" ca="1" si="45"/>
        <v>CH_MAX_26</v>
      </c>
      <c r="S79" s="91" t="str">
        <f t="shared" ca="1" si="32"/>
        <v>0</v>
      </c>
      <c r="T79" s="92" t="s">
        <v>15</v>
      </c>
      <c r="U79" s="92">
        <f t="shared" ca="1" si="39"/>
        <v>0</v>
      </c>
      <c r="V79" s="80">
        <f t="shared" ca="1" si="34"/>
        <v>0</v>
      </c>
      <c r="X79" s="88">
        <f t="shared" si="52"/>
        <v>269</v>
      </c>
      <c r="Y79" s="88">
        <v>1</v>
      </c>
      <c r="AA79" s="88" t="str">
        <f t="shared" ca="1" si="49"/>
        <v>072</v>
      </c>
      <c r="AB79" s="90" t="str">
        <f t="shared" ca="1" si="46"/>
        <v>P_CH8</v>
      </c>
      <c r="AC79" s="91" t="str">
        <f t="shared" ca="1" si="33"/>
        <v>0</v>
      </c>
      <c r="AD79" s="92" t="s">
        <v>21</v>
      </c>
      <c r="AE79" s="92">
        <f t="shared" ca="1" si="28"/>
        <v>0</v>
      </c>
      <c r="AF79" s="80"/>
    </row>
    <row r="80" spans="1:32">
      <c r="A80" s="79" t="str">
        <f>'CALIBRATION GUIDE'!B131</f>
        <v>0                  0                  19CC00             19CC00</v>
      </c>
      <c r="D80" s="88">
        <f t="shared" si="50"/>
        <v>63</v>
      </c>
      <c r="E80" s="88">
        <v>2</v>
      </c>
      <c r="G80" s="88" t="str">
        <f t="shared" ca="1" si="47"/>
        <v>073</v>
      </c>
      <c r="H80" s="90" t="str">
        <f t="shared" ca="1" si="43"/>
        <v>SWELL_OV_TH_31</v>
      </c>
      <c r="I80" s="91" t="str">
        <f t="shared" ca="1" si="44"/>
        <v>0</v>
      </c>
      <c r="J80" s="92" t="s">
        <v>12</v>
      </c>
      <c r="K80" s="92">
        <f t="shared" ca="1" si="42"/>
        <v>0</v>
      </c>
      <c r="L80" s="80"/>
      <c r="N80" s="88">
        <f t="shared" si="51"/>
        <v>206</v>
      </c>
      <c r="O80" s="88">
        <v>2</v>
      </c>
      <c r="Q80" s="88" t="str">
        <f t="shared" ca="1" si="48"/>
        <v>073</v>
      </c>
      <c r="R80" s="90" t="str">
        <f t="shared" ca="1" si="45"/>
        <v>CH_MAX_27</v>
      </c>
      <c r="S80" s="91" t="str">
        <f t="shared" ca="1" si="32"/>
        <v>0</v>
      </c>
      <c r="T80" s="92" t="s">
        <v>15</v>
      </c>
      <c r="U80" s="92">
        <f t="shared" ca="1" si="39"/>
        <v>0</v>
      </c>
      <c r="V80" s="80">
        <f t="shared" ca="1" si="34"/>
        <v>0</v>
      </c>
      <c r="X80" s="88">
        <f t="shared" si="52"/>
        <v>269</v>
      </c>
      <c r="Y80" s="88">
        <v>2</v>
      </c>
      <c r="AA80" s="88" t="str">
        <f t="shared" ca="1" si="49"/>
        <v>073</v>
      </c>
      <c r="AB80" s="90" t="str">
        <f t="shared" ca="1" si="46"/>
        <v>P_CH9</v>
      </c>
      <c r="AC80" s="91" t="str">
        <f t="shared" ca="1" si="33"/>
        <v>0</v>
      </c>
      <c r="AD80" s="92" t="s">
        <v>21</v>
      </c>
      <c r="AE80" s="92">
        <f t="shared" ca="1" si="28"/>
        <v>0</v>
      </c>
      <c r="AF80" s="80"/>
    </row>
    <row r="81" spans="1:32">
      <c r="A81" s="79" t="str">
        <f>'CALIBRATION GUIDE'!B132</f>
        <v>108 K_02           109 K_03           110 K_04           111 K_05</v>
      </c>
      <c r="D81" s="88">
        <f t="shared" si="50"/>
        <v>63</v>
      </c>
      <c r="E81" s="88">
        <v>3</v>
      </c>
      <c r="G81" s="88" t="str">
        <f t="shared" ca="1" si="47"/>
        <v>074</v>
      </c>
      <c r="H81" s="90" t="str">
        <f t="shared" ca="1" si="43"/>
        <v>SAG_THRES_00</v>
      </c>
      <c r="I81" s="91" t="str">
        <f t="shared" ca="1" si="44"/>
        <v>0</v>
      </c>
      <c r="J81" s="92" t="s">
        <v>12</v>
      </c>
      <c r="K81" s="92">
        <f t="shared" ca="1" si="42"/>
        <v>0</v>
      </c>
      <c r="L81" s="80"/>
      <c r="N81" s="88">
        <f t="shared" si="51"/>
        <v>206</v>
      </c>
      <c r="O81" s="88">
        <v>3</v>
      </c>
      <c r="Q81" s="88" t="str">
        <f t="shared" ca="1" si="48"/>
        <v>074</v>
      </c>
      <c r="R81" s="90" t="str">
        <f t="shared" ca="1" si="45"/>
        <v>CH_MAX_28</v>
      </c>
      <c r="S81" s="91" t="str">
        <f t="shared" ca="1" si="32"/>
        <v>0</v>
      </c>
      <c r="T81" s="92" t="s">
        <v>15</v>
      </c>
      <c r="U81" s="92">
        <f t="shared" ca="1" si="39"/>
        <v>0</v>
      </c>
      <c r="V81" s="80">
        <f t="shared" ca="1" si="34"/>
        <v>0</v>
      </c>
      <c r="X81" s="88">
        <f t="shared" si="52"/>
        <v>269</v>
      </c>
      <c r="Y81" s="88">
        <v>3</v>
      </c>
      <c r="AA81" s="88" t="str">
        <f t="shared" ca="1" si="49"/>
        <v>074</v>
      </c>
      <c r="AB81" s="90" t="str">
        <f t="shared" ca="1" si="46"/>
        <v>P_CH10</v>
      </c>
      <c r="AC81" s="91" t="str">
        <f t="shared" ca="1" si="33"/>
        <v>0</v>
      </c>
      <c r="AD81" s="92" t="s">
        <v>21</v>
      </c>
      <c r="AE81" s="92">
        <f t="shared" ref="AE81:AE144" ca="1" si="53">(HEX2DEC(LEFT(REPT("0",16-LEN(AC81))&amp;AC81,10))*16^6+HEX2DEC(RIGHT(AC81,6)))/2^(0+MID(AD81,FIND(".",AD81)+1,2))</f>
        <v>0</v>
      </c>
      <c r="AF81" s="80"/>
    </row>
    <row r="82" spans="1:32">
      <c r="A82" s="79" t="str">
        <f>'CALIBRATION GUIDE'!B133</f>
        <v>19CC00             9A523              9A523              9A523</v>
      </c>
      <c r="D82" s="88">
        <f t="shared" si="50"/>
        <v>63</v>
      </c>
      <c r="E82" s="88">
        <v>4</v>
      </c>
      <c r="G82" s="88" t="str">
        <f t="shared" ca="1" si="47"/>
        <v>075</v>
      </c>
      <c r="H82" s="90" t="str">
        <f t="shared" ca="1" si="43"/>
        <v>SAG_THRES_01</v>
      </c>
      <c r="I82" s="91" t="str">
        <f t="shared" ca="1" si="44"/>
        <v>1A2EC26</v>
      </c>
      <c r="J82" s="92" t="s">
        <v>12</v>
      </c>
      <c r="K82" s="92">
        <f t="shared" ca="1" si="42"/>
        <v>6.392249371856451E-3</v>
      </c>
      <c r="L82" s="80"/>
      <c r="N82" s="88">
        <f t="shared" si="51"/>
        <v>206</v>
      </c>
      <c r="O82" s="88">
        <v>4</v>
      </c>
      <c r="Q82" s="88" t="str">
        <f t="shared" ca="1" si="48"/>
        <v>075</v>
      </c>
      <c r="R82" s="90" t="str">
        <f t="shared" ca="1" si="45"/>
        <v>CH_MAX_29</v>
      </c>
      <c r="S82" s="91" t="str">
        <f t="shared" ca="1" si="32"/>
        <v>0</v>
      </c>
      <c r="T82" s="92" t="s">
        <v>15</v>
      </c>
      <c r="U82" s="92">
        <f t="shared" ca="1" si="39"/>
        <v>0</v>
      </c>
      <c r="V82" s="80">
        <f t="shared" ca="1" si="34"/>
        <v>0</v>
      </c>
      <c r="X82" s="88">
        <f t="shared" si="52"/>
        <v>269</v>
      </c>
      <c r="Y82" s="88">
        <v>4</v>
      </c>
      <c r="AA82" s="88" t="str">
        <f t="shared" ca="1" si="49"/>
        <v>075</v>
      </c>
      <c r="AB82" s="90" t="str">
        <f t="shared" ca="1" si="46"/>
        <v>P_CH11</v>
      </c>
      <c r="AC82" s="91" t="str">
        <f t="shared" ca="1" si="33"/>
        <v>0</v>
      </c>
      <c r="AD82" s="92" t="s">
        <v>21</v>
      </c>
      <c r="AE82" s="92">
        <f t="shared" ca="1" si="53"/>
        <v>0</v>
      </c>
      <c r="AF82" s="80"/>
    </row>
    <row r="83" spans="1:32">
      <c r="A83" s="79" t="str">
        <f>'CALIBRATION GUIDE'!B134</f>
        <v>112 K_06           113 K_07           114 K_08           115 K_09</v>
      </c>
      <c r="D83" s="88">
        <f t="shared" si="50"/>
        <v>65</v>
      </c>
      <c r="E83" s="88">
        <v>1</v>
      </c>
      <c r="G83" s="88" t="str">
        <f t="shared" ca="1" si="47"/>
        <v>076</v>
      </c>
      <c r="H83" s="90" t="str">
        <f t="shared" ca="1" si="43"/>
        <v>SAG_THRES_02</v>
      </c>
      <c r="I83" s="91" t="str">
        <f t="shared" ca="1" si="44"/>
        <v>0</v>
      </c>
      <c r="J83" s="92" t="s">
        <v>12</v>
      </c>
      <c r="K83" s="92">
        <f t="shared" ca="1" si="42"/>
        <v>0</v>
      </c>
      <c r="L83" s="80"/>
      <c r="N83" s="88">
        <f t="shared" si="51"/>
        <v>208</v>
      </c>
      <c r="O83" s="88">
        <v>1</v>
      </c>
      <c r="Q83" s="88" t="str">
        <f t="shared" ca="1" si="48"/>
        <v>076</v>
      </c>
      <c r="R83" s="90" t="str">
        <f t="shared" ca="1" si="45"/>
        <v>CH_MAX_30</v>
      </c>
      <c r="S83" s="91" t="str">
        <f t="shared" ca="1" si="32"/>
        <v>0</v>
      </c>
      <c r="T83" s="92" t="s">
        <v>15</v>
      </c>
      <c r="U83" s="92">
        <f t="shared" ca="1" si="39"/>
        <v>0</v>
      </c>
      <c r="V83" s="80">
        <f t="shared" ca="1" si="34"/>
        <v>0</v>
      </c>
      <c r="X83" s="88">
        <f t="shared" si="52"/>
        <v>271</v>
      </c>
      <c r="Y83" s="88">
        <v>1</v>
      </c>
      <c r="AA83" s="88" t="str">
        <f t="shared" ca="1" si="49"/>
        <v>076</v>
      </c>
      <c r="AB83" s="90" t="str">
        <f t="shared" ca="1" si="46"/>
        <v>P_CH12</v>
      </c>
      <c r="AC83" s="91" t="str">
        <f t="shared" ca="1" si="33"/>
        <v>0</v>
      </c>
      <c r="AD83" s="92" t="s">
        <v>21</v>
      </c>
      <c r="AE83" s="92">
        <f t="shared" ca="1" si="53"/>
        <v>0</v>
      </c>
      <c r="AF83" s="80"/>
    </row>
    <row r="84" spans="1:32">
      <c r="A84" s="79" t="str">
        <f>'CALIBRATION GUIDE'!B135</f>
        <v>9A523              19CC00             9A523              19CC00</v>
      </c>
      <c r="D84" s="88">
        <f t="shared" si="50"/>
        <v>65</v>
      </c>
      <c r="E84" s="88">
        <v>2</v>
      </c>
      <c r="G84" s="88" t="str">
        <f t="shared" ca="1" si="47"/>
        <v>077</v>
      </c>
      <c r="H84" s="90" t="str">
        <f t="shared" ca="1" si="43"/>
        <v>SAG_THRES_03</v>
      </c>
      <c r="I84" s="91" t="str">
        <f t="shared" ca="1" si="44"/>
        <v>1A2EC26</v>
      </c>
      <c r="J84" s="92" t="s">
        <v>12</v>
      </c>
      <c r="K84" s="92">
        <f t="shared" ca="1" si="42"/>
        <v>6.392249371856451E-3</v>
      </c>
      <c r="L84" s="80"/>
      <c r="N84" s="88">
        <f t="shared" si="51"/>
        <v>208</v>
      </c>
      <c r="O84" s="88">
        <v>2</v>
      </c>
      <c r="Q84" s="88" t="str">
        <f t="shared" ca="1" si="48"/>
        <v>077</v>
      </c>
      <c r="R84" s="90" t="str">
        <f t="shared" ca="1" si="45"/>
        <v>CH_MAX_31</v>
      </c>
      <c r="S84" s="91" t="str">
        <f t="shared" ca="1" si="32"/>
        <v>0</v>
      </c>
      <c r="T84" s="92" t="s">
        <v>15</v>
      </c>
      <c r="U84" s="92">
        <f t="shared" ca="1" si="39"/>
        <v>0</v>
      </c>
      <c r="V84" s="80">
        <f t="shared" ca="1" si="34"/>
        <v>0</v>
      </c>
      <c r="X84" s="88">
        <f t="shared" si="52"/>
        <v>271</v>
      </c>
      <c r="Y84" s="88">
        <v>2</v>
      </c>
      <c r="AA84" s="88" t="str">
        <f t="shared" ca="1" si="49"/>
        <v>077</v>
      </c>
      <c r="AB84" s="90" t="str">
        <f t="shared" ca="1" si="46"/>
        <v>P_CH13</v>
      </c>
      <c r="AC84" s="91" t="str">
        <f t="shared" ca="1" si="33"/>
        <v>0</v>
      </c>
      <c r="AD84" s="92" t="s">
        <v>21</v>
      </c>
      <c r="AE84" s="92">
        <f t="shared" ca="1" si="53"/>
        <v>0</v>
      </c>
      <c r="AF84" s="80"/>
    </row>
    <row r="85" spans="1:32">
      <c r="A85" s="79" t="str">
        <f>'CALIBRATION GUIDE'!B136</f>
        <v>116 K_10           117 K_11           118 K_12           119 K_13</v>
      </c>
      <c r="D85" s="88">
        <f t="shared" si="50"/>
        <v>65</v>
      </c>
      <c r="E85" s="88">
        <v>3</v>
      </c>
      <c r="G85" s="88" t="str">
        <f t="shared" ca="1" si="47"/>
        <v>078</v>
      </c>
      <c r="H85" s="90" t="str">
        <f t="shared" ca="1" si="43"/>
        <v>SAG_THRES_04</v>
      </c>
      <c r="I85" s="91" t="str">
        <f t="shared" ca="1" si="44"/>
        <v>0</v>
      </c>
      <c r="J85" s="92" t="s">
        <v>12</v>
      </c>
      <c r="K85" s="92">
        <f t="shared" ca="1" si="42"/>
        <v>0</v>
      </c>
      <c r="L85" s="80"/>
      <c r="N85" s="88">
        <f t="shared" si="51"/>
        <v>208</v>
      </c>
      <c r="O85" s="88">
        <v>3</v>
      </c>
      <c r="Q85" s="88" t="str">
        <f t="shared" ca="1" si="48"/>
        <v>078</v>
      </c>
      <c r="R85" s="90" t="str">
        <f t="shared" ca="1" si="45"/>
        <v>FEATURES</v>
      </c>
      <c r="S85" s="91" t="str">
        <f t="shared" ca="1" si="32"/>
        <v>807F6C01</v>
      </c>
      <c r="T85" s="92" t="s">
        <v>12</v>
      </c>
      <c r="U85" s="92">
        <f t="shared" ca="1" si="39"/>
        <v>-0.49805569625459611</v>
      </c>
      <c r="V85" s="80"/>
      <c r="X85" s="88">
        <f t="shared" si="52"/>
        <v>271</v>
      </c>
      <c r="Y85" s="88">
        <v>3</v>
      </c>
      <c r="AA85" s="88" t="str">
        <f t="shared" ca="1" si="49"/>
        <v>078</v>
      </c>
      <c r="AB85" s="90" t="str">
        <f t="shared" ca="1" si="46"/>
        <v>P_CH14</v>
      </c>
      <c r="AC85" s="91" t="str">
        <f t="shared" ca="1" si="33"/>
        <v>0</v>
      </c>
      <c r="AD85" s="92" t="s">
        <v>21</v>
      </c>
      <c r="AE85" s="92">
        <f t="shared" ca="1" si="53"/>
        <v>0</v>
      </c>
      <c r="AF85" s="80"/>
    </row>
    <row r="86" spans="1:32">
      <c r="A86" s="79" t="str">
        <f>'CALIBRATION GUIDE'!B137</f>
        <v>9A523              19CC00             9A523              9A523</v>
      </c>
      <c r="D86" s="88">
        <f t="shared" si="50"/>
        <v>65</v>
      </c>
      <c r="E86" s="88">
        <v>4</v>
      </c>
      <c r="G86" s="88" t="str">
        <f t="shared" ca="1" si="47"/>
        <v>079</v>
      </c>
      <c r="H86" s="90" t="str">
        <f t="shared" ca="1" si="43"/>
        <v>SAG_THRES_05</v>
      </c>
      <c r="I86" s="91" t="str">
        <f t="shared" ca="1" si="44"/>
        <v>1A2EC26</v>
      </c>
      <c r="J86" s="92" t="s">
        <v>12</v>
      </c>
      <c r="K86" s="92">
        <f t="shared" ca="1" si="42"/>
        <v>6.392249371856451E-3</v>
      </c>
      <c r="L86" s="80"/>
      <c r="N86" s="88">
        <f t="shared" si="51"/>
        <v>208</v>
      </c>
      <c r="O86" s="88">
        <v>4</v>
      </c>
      <c r="Q86" s="88" t="str">
        <f t="shared" ca="1" si="48"/>
        <v>079</v>
      </c>
      <c r="R86" s="90" t="str">
        <f t="shared" ca="1" si="45"/>
        <v>MCP_CRC_ERRORS</v>
      </c>
      <c r="S86" s="91" t="str">
        <f t="shared" ca="1" si="32"/>
        <v>0</v>
      </c>
      <c r="T86" s="92" t="s">
        <v>12</v>
      </c>
      <c r="U86" s="92">
        <f t="shared" ca="1" si="39"/>
        <v>0</v>
      </c>
      <c r="V86" s="80"/>
      <c r="X86" s="88">
        <f t="shared" si="52"/>
        <v>271</v>
      </c>
      <c r="Y86" s="88">
        <v>4</v>
      </c>
      <c r="AA86" s="88" t="str">
        <f t="shared" ca="1" si="49"/>
        <v>079</v>
      </c>
      <c r="AB86" s="90" t="str">
        <f t="shared" ca="1" si="46"/>
        <v>P_CH15</v>
      </c>
      <c r="AC86" s="91" t="str">
        <f t="shared" ca="1" si="33"/>
        <v>0</v>
      </c>
      <c r="AD86" s="92" t="s">
        <v>21</v>
      </c>
      <c r="AE86" s="92">
        <f t="shared" ca="1" si="53"/>
        <v>0</v>
      </c>
      <c r="AF86" s="80"/>
    </row>
    <row r="87" spans="1:32">
      <c r="A87" s="79" t="str">
        <f>'CALIBRATION GUIDE'!B138</f>
        <v>120 K_14           121 K_15           122 K_16           123 K_17</v>
      </c>
      <c r="D87" s="88">
        <f t="shared" si="50"/>
        <v>67</v>
      </c>
      <c r="E87" s="88">
        <v>1</v>
      </c>
      <c r="G87" s="88" t="str">
        <f t="shared" ca="1" si="47"/>
        <v>080</v>
      </c>
      <c r="H87" s="90" t="str">
        <f t="shared" ca="1" si="43"/>
        <v>SAG_THRES_06</v>
      </c>
      <c r="I87" s="91" t="str">
        <f t="shared" ca="1" si="44"/>
        <v>0</v>
      </c>
      <c r="J87" s="92" t="s">
        <v>12</v>
      </c>
      <c r="K87" s="92">
        <f t="shared" ca="1" si="42"/>
        <v>0</v>
      </c>
      <c r="L87" s="80"/>
      <c r="N87" s="88">
        <f t="shared" si="51"/>
        <v>210</v>
      </c>
      <c r="O87" s="88">
        <v>1</v>
      </c>
      <c r="Q87" s="88" t="str">
        <f t="shared" ca="1" si="48"/>
        <v>080</v>
      </c>
      <c r="R87" s="90" t="str">
        <f t="shared" ca="1" si="45"/>
        <v>RESERVED_S80</v>
      </c>
      <c r="S87" s="91" t="str">
        <f t="shared" ca="1" si="32"/>
        <v>0</v>
      </c>
      <c r="T87" s="92" t="s">
        <v>12</v>
      </c>
      <c r="U87" s="92">
        <f t="shared" ca="1" si="39"/>
        <v>0</v>
      </c>
      <c r="V87" s="80"/>
      <c r="X87" s="88">
        <f t="shared" si="52"/>
        <v>273</v>
      </c>
      <c r="Y87" s="88">
        <v>1</v>
      </c>
      <c r="AA87" s="88" t="str">
        <f t="shared" ca="1" si="49"/>
        <v>080</v>
      </c>
      <c r="AB87" s="90" t="str">
        <f t="shared" ca="1" si="46"/>
        <v>P_CH16</v>
      </c>
      <c r="AC87" s="91" t="str">
        <f t="shared" ca="1" si="33"/>
        <v>0</v>
      </c>
      <c r="AD87" s="92" t="s">
        <v>21</v>
      </c>
      <c r="AE87" s="92">
        <f t="shared" ca="1" si="53"/>
        <v>0</v>
      </c>
      <c r="AF87" s="80"/>
    </row>
    <row r="88" spans="1:32">
      <c r="A88" s="79" t="str">
        <f>'CALIBRATION GUIDE'!B139</f>
        <v>9A523              9A523              9A523              9A523</v>
      </c>
      <c r="D88" s="88">
        <f t="shared" si="50"/>
        <v>67</v>
      </c>
      <c r="E88" s="88">
        <v>2</v>
      </c>
      <c r="G88" s="88" t="str">
        <f t="shared" ca="1" si="47"/>
        <v>081</v>
      </c>
      <c r="H88" s="90" t="str">
        <f t="shared" ca="1" si="43"/>
        <v>SAG_THRES_07</v>
      </c>
      <c r="I88" s="91" t="str">
        <f t="shared" ca="1" si="44"/>
        <v>1A2EC26</v>
      </c>
      <c r="J88" s="92" t="s">
        <v>12</v>
      </c>
      <c r="K88" s="92">
        <f t="shared" ca="1" si="42"/>
        <v>6.392249371856451E-3</v>
      </c>
      <c r="L88" s="80"/>
      <c r="N88" s="88">
        <f t="shared" si="51"/>
        <v>210</v>
      </c>
      <c r="O88" s="88">
        <v>2</v>
      </c>
      <c r="Q88" s="88" t="str">
        <f t="shared" ca="1" si="48"/>
        <v>081</v>
      </c>
      <c r="R88" s="90" t="str">
        <f t="shared" ca="1" si="45"/>
        <v>RESERVED_S81</v>
      </c>
      <c r="S88" s="91" t="str">
        <f t="shared" ca="1" si="32"/>
        <v>0</v>
      </c>
      <c r="T88" s="92" t="s">
        <v>12</v>
      </c>
      <c r="U88" s="92">
        <f t="shared" ca="1" si="39"/>
        <v>0</v>
      </c>
      <c r="V88" s="80"/>
      <c r="X88" s="88">
        <f t="shared" si="52"/>
        <v>273</v>
      </c>
      <c r="Y88" s="88">
        <v>2</v>
      </c>
      <c r="AA88" s="88" t="str">
        <f t="shared" ca="1" si="49"/>
        <v>081</v>
      </c>
      <c r="AB88" s="90" t="str">
        <f t="shared" ca="1" si="46"/>
        <v>P_CH17</v>
      </c>
      <c r="AC88" s="91" t="str">
        <f t="shared" ca="1" si="33"/>
        <v>0</v>
      </c>
      <c r="AD88" s="92" t="s">
        <v>21</v>
      </c>
      <c r="AE88" s="92">
        <f t="shared" ca="1" si="53"/>
        <v>0</v>
      </c>
      <c r="AF88" s="80"/>
    </row>
    <row r="89" spans="1:32">
      <c r="A89" s="79" t="str">
        <f>'CALIBRATION GUIDE'!B140</f>
        <v>124 K_18           125 K_19           126 K_20           127 K_21</v>
      </c>
      <c r="D89" s="88">
        <f t="shared" si="50"/>
        <v>67</v>
      </c>
      <c r="E89" s="88">
        <v>3</v>
      </c>
      <c r="G89" s="88" t="str">
        <f t="shared" ca="1" si="47"/>
        <v>082</v>
      </c>
      <c r="H89" s="90" t="str">
        <f t="shared" ca="1" si="43"/>
        <v>SAG_THRES_08</v>
      </c>
      <c r="I89" s="91" t="str">
        <f t="shared" ca="1" si="44"/>
        <v>0</v>
      </c>
      <c r="J89" s="92" t="s">
        <v>12</v>
      </c>
      <c r="K89" s="92">
        <f t="shared" ca="1" si="42"/>
        <v>0</v>
      </c>
      <c r="L89" s="80"/>
      <c r="N89" s="88">
        <f t="shared" si="51"/>
        <v>210</v>
      </c>
      <c r="O89" s="88">
        <v>3</v>
      </c>
      <c r="Q89" s="88" t="str">
        <f t="shared" ca="1" si="48"/>
        <v>082</v>
      </c>
      <c r="R89" s="90" t="str">
        <f t="shared" ca="1" si="45"/>
        <v>PULSE0_COUNTER</v>
      </c>
      <c r="S89" s="91" t="str">
        <f t="shared" ca="1" si="32"/>
        <v>1737</v>
      </c>
      <c r="T89" s="92" t="s">
        <v>12</v>
      </c>
      <c r="U89" s="92">
        <f t="shared" ca="1" si="39"/>
        <v>1.3837125152349472E-6</v>
      </c>
      <c r="V89" s="80"/>
      <c r="X89" s="88">
        <f t="shared" si="52"/>
        <v>273</v>
      </c>
      <c r="Y89" s="88">
        <v>3</v>
      </c>
      <c r="AA89" s="88" t="str">
        <f t="shared" ca="1" si="49"/>
        <v>082</v>
      </c>
      <c r="AB89" s="90" t="str">
        <f t="shared" ca="1" si="46"/>
        <v>P_CH18</v>
      </c>
      <c r="AC89" s="91" t="str">
        <f t="shared" ca="1" si="33"/>
        <v>0</v>
      </c>
      <c r="AD89" s="92" t="s">
        <v>21</v>
      </c>
      <c r="AE89" s="92">
        <f t="shared" ca="1" si="53"/>
        <v>0</v>
      </c>
      <c r="AF89" s="80"/>
    </row>
    <row r="90" spans="1:32">
      <c r="A90" s="79" t="str">
        <f>'CALIBRATION GUIDE'!B141</f>
        <v>9A523              9A523              9A523              9A523</v>
      </c>
      <c r="C90" s="12"/>
      <c r="D90" s="88">
        <f t="shared" si="50"/>
        <v>67</v>
      </c>
      <c r="E90" s="88">
        <v>4</v>
      </c>
      <c r="G90" s="88" t="str">
        <f t="shared" ca="1" si="47"/>
        <v>083</v>
      </c>
      <c r="H90" s="90" t="str">
        <f t="shared" ca="1" si="43"/>
        <v>SAG_THRES_09</v>
      </c>
      <c r="I90" s="91" t="str">
        <f t="shared" ca="1" si="44"/>
        <v>1A2EC26</v>
      </c>
      <c r="J90" s="92" t="s">
        <v>12</v>
      </c>
      <c r="K90" s="92">
        <f t="shared" ca="1" si="42"/>
        <v>6.392249371856451E-3</v>
      </c>
      <c r="L90" s="80"/>
      <c r="N90" s="88">
        <f t="shared" si="51"/>
        <v>210</v>
      </c>
      <c r="O90" s="88">
        <v>4</v>
      </c>
      <c r="Q90" s="88" t="str">
        <f t="shared" ca="1" si="48"/>
        <v>083</v>
      </c>
      <c r="R90" s="90" t="str">
        <f t="shared" ca="1" si="45"/>
        <v>PULSE1_COUNTER</v>
      </c>
      <c r="S90" s="91" t="str">
        <f t="shared" ca="1" si="32"/>
        <v>2175</v>
      </c>
      <c r="T90" s="92" t="s">
        <v>12</v>
      </c>
      <c r="U90" s="92">
        <f t="shared" ca="1" si="39"/>
        <v>1.9941944628953934E-6</v>
      </c>
      <c r="V90" s="80"/>
      <c r="X90" s="88">
        <f t="shared" si="52"/>
        <v>273</v>
      </c>
      <c r="Y90" s="88">
        <v>4</v>
      </c>
      <c r="AA90" s="88" t="str">
        <f t="shared" ca="1" si="49"/>
        <v>083</v>
      </c>
      <c r="AB90" s="90" t="str">
        <f t="shared" ca="1" si="46"/>
        <v>P_CH19</v>
      </c>
      <c r="AC90" s="91" t="str">
        <f t="shared" ca="1" si="33"/>
        <v>0</v>
      </c>
      <c r="AD90" s="92" t="s">
        <v>21</v>
      </c>
      <c r="AE90" s="92">
        <f t="shared" ca="1" si="53"/>
        <v>0</v>
      </c>
      <c r="AF90" s="80"/>
    </row>
    <row r="91" spans="1:32">
      <c r="A91" s="79" t="str">
        <f>'CALIBRATION GUIDE'!B142</f>
        <v>128 K_22           129 K_23           130 K_24           131 K_25</v>
      </c>
      <c r="D91" s="88">
        <f t="shared" si="50"/>
        <v>69</v>
      </c>
      <c r="E91" s="88">
        <v>1</v>
      </c>
      <c r="G91" s="88" t="str">
        <f t="shared" ca="1" si="47"/>
        <v>084</v>
      </c>
      <c r="H91" s="90" t="str">
        <f t="shared" ca="1" si="43"/>
        <v>SAG_THRES_10</v>
      </c>
      <c r="I91" s="91" t="str">
        <f t="shared" ca="1" si="44"/>
        <v>0</v>
      </c>
      <c r="J91" s="92" t="s">
        <v>12</v>
      </c>
      <c r="K91" s="92">
        <f t="shared" ca="1" si="42"/>
        <v>0</v>
      </c>
      <c r="L91" s="80"/>
      <c r="N91" s="88">
        <f t="shared" si="51"/>
        <v>212</v>
      </c>
      <c r="O91" s="88">
        <v>1</v>
      </c>
      <c r="Q91" s="88" t="str">
        <f t="shared" ca="1" si="48"/>
        <v>084</v>
      </c>
      <c r="R91" s="90" t="str">
        <f t="shared" ca="1" si="45"/>
        <v>PULSE2_COUNTER</v>
      </c>
      <c r="S91" s="91" t="str">
        <f t="shared" ca="1" si="32"/>
        <v>0</v>
      </c>
      <c r="T91" s="92" t="s">
        <v>12</v>
      </c>
      <c r="U91" s="92">
        <f t="shared" ca="1" si="39"/>
        <v>0</v>
      </c>
      <c r="V91" s="80"/>
      <c r="X91" s="88">
        <f t="shared" si="52"/>
        <v>275</v>
      </c>
      <c r="Y91" s="88">
        <v>1</v>
      </c>
      <c r="AA91" s="88" t="str">
        <f t="shared" ca="1" si="49"/>
        <v>084</v>
      </c>
      <c r="AB91" s="90" t="str">
        <f t="shared" ca="1" si="46"/>
        <v>P_CH20</v>
      </c>
      <c r="AC91" s="91" t="str">
        <f t="shared" ca="1" si="33"/>
        <v>0</v>
      </c>
      <c r="AD91" s="92" t="s">
        <v>21</v>
      </c>
      <c r="AE91" s="92">
        <f t="shared" ca="1" si="53"/>
        <v>0</v>
      </c>
      <c r="AF91" s="80"/>
    </row>
    <row r="92" spans="1:32">
      <c r="A92" s="79" t="str">
        <f>'CALIBRATION GUIDE'!B143</f>
        <v>9A523              9A523              9A523              9A523</v>
      </c>
      <c r="D92" s="88">
        <f t="shared" si="50"/>
        <v>69</v>
      </c>
      <c r="E92" s="88">
        <v>2</v>
      </c>
      <c r="G92" s="88" t="str">
        <f t="shared" ca="1" si="47"/>
        <v>085</v>
      </c>
      <c r="H92" s="90" t="str">
        <f t="shared" ca="1" si="43"/>
        <v>SAG_THRES_11</v>
      </c>
      <c r="I92" s="91" t="str">
        <f t="shared" ca="1" si="44"/>
        <v>1A2EC26</v>
      </c>
      <c r="J92" s="92" t="s">
        <v>12</v>
      </c>
      <c r="K92" s="92">
        <f t="shared" ca="1" si="42"/>
        <v>6.392249371856451E-3</v>
      </c>
      <c r="L92" s="80"/>
      <c r="N92" s="88">
        <f t="shared" si="51"/>
        <v>212</v>
      </c>
      <c r="O92" s="88">
        <v>2</v>
      </c>
      <c r="Q92" s="88" t="str">
        <f t="shared" ca="1" si="48"/>
        <v>085</v>
      </c>
      <c r="R92" s="90" t="str">
        <f t="shared" ca="1" si="45"/>
        <v>RESERVED_S85</v>
      </c>
      <c r="S92" s="91" t="str">
        <f t="shared" ca="1" si="32"/>
        <v>0</v>
      </c>
      <c r="T92" s="92" t="s">
        <v>12</v>
      </c>
      <c r="U92" s="92">
        <f t="shared" ca="1" si="39"/>
        <v>0</v>
      </c>
      <c r="V92" s="80"/>
      <c r="X92" s="88">
        <f t="shared" si="52"/>
        <v>275</v>
      </c>
      <c r="Y92" s="88">
        <v>2</v>
      </c>
      <c r="AA92" s="88" t="str">
        <f t="shared" ca="1" si="49"/>
        <v>085</v>
      </c>
      <c r="AB92" s="90" t="str">
        <f t="shared" ca="1" si="46"/>
        <v>P_CH21</v>
      </c>
      <c r="AC92" s="91" t="str">
        <f t="shared" ca="1" si="33"/>
        <v>0</v>
      </c>
      <c r="AD92" s="92" t="s">
        <v>21</v>
      </c>
      <c r="AE92" s="92">
        <f t="shared" ca="1" si="53"/>
        <v>0</v>
      </c>
      <c r="AF92" s="80"/>
    </row>
    <row r="93" spans="1:32">
      <c r="A93" s="79" t="str">
        <f>'CALIBRATION GUIDE'!B144</f>
        <v>132 K_26           133 K_27           134 K_28           135 K_29</v>
      </c>
      <c r="D93" s="88">
        <f t="shared" si="50"/>
        <v>69</v>
      </c>
      <c r="E93" s="88">
        <v>3</v>
      </c>
      <c r="G93" s="88" t="str">
        <f t="shared" ca="1" si="47"/>
        <v>086</v>
      </c>
      <c r="H93" s="90" t="str">
        <f t="shared" ca="1" si="43"/>
        <v>SAG_THRES_12</v>
      </c>
      <c r="I93" s="91" t="str">
        <f t="shared" ca="1" si="44"/>
        <v>0</v>
      </c>
      <c r="J93" s="92" t="s">
        <v>12</v>
      </c>
      <c r="K93" s="92">
        <f t="shared" ca="1" si="42"/>
        <v>0</v>
      </c>
      <c r="L93" s="80"/>
      <c r="N93" s="88">
        <f t="shared" si="51"/>
        <v>212</v>
      </c>
      <c r="O93" s="88">
        <v>3</v>
      </c>
      <c r="Q93" s="88" t="str">
        <f t="shared" ca="1" si="48"/>
        <v>086</v>
      </c>
      <c r="R93" s="90" t="str">
        <f t="shared" ca="1" si="45"/>
        <v>RESERVED_S86</v>
      </c>
      <c r="S93" s="91" t="str">
        <f t="shared" ca="1" si="32"/>
        <v>0</v>
      </c>
      <c r="T93" s="92" t="s">
        <v>12</v>
      </c>
      <c r="U93" s="92">
        <f t="shared" ca="1" si="39"/>
        <v>0</v>
      </c>
      <c r="V93" s="80"/>
      <c r="X93" s="88">
        <f t="shared" si="52"/>
        <v>275</v>
      </c>
      <c r="Y93" s="88">
        <v>3</v>
      </c>
      <c r="AA93" s="88" t="str">
        <f t="shared" ca="1" si="49"/>
        <v>086</v>
      </c>
      <c r="AB93" s="90" t="str">
        <f t="shared" ca="1" si="46"/>
        <v>P_CH22</v>
      </c>
      <c r="AC93" s="91" t="str">
        <f t="shared" ca="1" si="33"/>
        <v>0</v>
      </c>
      <c r="AD93" s="92" t="s">
        <v>21</v>
      </c>
      <c r="AE93" s="92">
        <f t="shared" ca="1" si="53"/>
        <v>0</v>
      </c>
      <c r="AF93" s="80"/>
    </row>
    <row r="94" spans="1:32">
      <c r="A94" s="79" t="str">
        <f>'CALIBRATION GUIDE'!B145</f>
        <v>9A523              9A523              9A523              9A523</v>
      </c>
      <c r="D94" s="88">
        <f t="shared" si="50"/>
        <v>69</v>
      </c>
      <c r="E94" s="88">
        <v>4</v>
      </c>
      <c r="G94" s="88" t="str">
        <f t="shared" ca="1" si="47"/>
        <v>087</v>
      </c>
      <c r="H94" s="90" t="str">
        <f t="shared" ca="1" si="43"/>
        <v>SAG_THRES_13</v>
      </c>
      <c r="I94" s="91" t="str">
        <f t="shared" ca="1" si="44"/>
        <v>0</v>
      </c>
      <c r="J94" s="92" t="s">
        <v>12</v>
      </c>
      <c r="K94" s="92">
        <f t="shared" ca="1" si="42"/>
        <v>0</v>
      </c>
      <c r="L94" s="80"/>
      <c r="N94" s="88">
        <f t="shared" si="51"/>
        <v>212</v>
      </c>
      <c r="O94" s="88">
        <v>4</v>
      </c>
      <c r="Q94" s="88" t="str">
        <f t="shared" ca="1" si="48"/>
        <v>087</v>
      </c>
      <c r="R94" s="90" t="str">
        <f t="shared" ca="1" si="45"/>
        <v>ZC_N_CH0</v>
      </c>
      <c r="S94" s="91" t="str">
        <f t="shared" ca="1" si="32"/>
        <v>31FB70</v>
      </c>
      <c r="T94" s="92" t="s">
        <v>19</v>
      </c>
      <c r="U94" s="92">
        <f t="shared" ca="1" si="39"/>
        <v>799.71484375</v>
      </c>
      <c r="V94" s="80"/>
      <c r="X94" s="88">
        <f t="shared" si="52"/>
        <v>275</v>
      </c>
      <c r="Y94" s="88">
        <v>4</v>
      </c>
      <c r="AA94" s="88" t="str">
        <f t="shared" ca="1" si="49"/>
        <v>087</v>
      </c>
      <c r="AB94" s="90" t="str">
        <f t="shared" ca="1" si="46"/>
        <v>P_CH23</v>
      </c>
      <c r="AC94" s="91" t="str">
        <f t="shared" ca="1" si="33"/>
        <v>0</v>
      </c>
      <c r="AD94" s="92" t="s">
        <v>21</v>
      </c>
      <c r="AE94" s="92">
        <f t="shared" ca="1" si="53"/>
        <v>0</v>
      </c>
      <c r="AF94" s="80"/>
    </row>
    <row r="95" spans="1:32">
      <c r="A95" s="79" t="str">
        <f>'CALIBRATION GUIDE'!B146</f>
        <v>136 K_30           137 K_31           138 CAL_M_00       139 CAL_M_01</v>
      </c>
      <c r="D95" s="88">
        <f t="shared" si="50"/>
        <v>71</v>
      </c>
      <c r="E95" s="88">
        <v>1</v>
      </c>
      <c r="G95" s="88" t="str">
        <f t="shared" ca="1" si="47"/>
        <v>088</v>
      </c>
      <c r="H95" s="90" t="str">
        <f t="shared" ca="1" si="43"/>
        <v>SAG_THRES_14</v>
      </c>
      <c r="I95" s="91" t="str">
        <f t="shared" ca="1" si="44"/>
        <v>0</v>
      </c>
      <c r="J95" s="92" t="s">
        <v>12</v>
      </c>
      <c r="K95" s="92">
        <f t="shared" ca="1" si="42"/>
        <v>0</v>
      </c>
      <c r="L95" s="80"/>
      <c r="N95" s="88">
        <f t="shared" si="51"/>
        <v>214</v>
      </c>
      <c r="O95" s="88">
        <v>1</v>
      </c>
      <c r="Q95" s="88" t="str">
        <f t="shared" ca="1" si="48"/>
        <v>088</v>
      </c>
      <c r="R95" s="90" t="str">
        <f t="shared" ca="1" si="45"/>
        <v>ZC_N_CH1</v>
      </c>
      <c r="S95" s="91" t="str">
        <f t="shared" ca="1" si="32"/>
        <v>33A634</v>
      </c>
      <c r="T95" s="92" t="s">
        <v>19</v>
      </c>
      <c r="U95" s="92">
        <f t="shared" ca="1" si="39"/>
        <v>826.3876953125</v>
      </c>
      <c r="V95" s="80"/>
      <c r="X95" s="88">
        <f t="shared" si="52"/>
        <v>277</v>
      </c>
      <c r="Y95" s="88">
        <v>1</v>
      </c>
      <c r="AA95" s="88" t="str">
        <f t="shared" ca="1" si="49"/>
        <v>088</v>
      </c>
      <c r="AB95" s="90" t="str">
        <f t="shared" ca="1" si="46"/>
        <v>P_CH24</v>
      </c>
      <c r="AC95" s="91" t="str">
        <f t="shared" ca="1" si="33"/>
        <v>0</v>
      </c>
      <c r="AD95" s="92" t="s">
        <v>21</v>
      </c>
      <c r="AE95" s="92">
        <f t="shared" ca="1" si="53"/>
        <v>0</v>
      </c>
      <c r="AF95" s="80"/>
    </row>
    <row r="96" spans="1:32">
      <c r="A96" s="79" t="str">
        <f>'CALIBRATION GUIDE'!B147</f>
        <v>9A523              9A523              20000000           20000000</v>
      </c>
      <c r="D96" s="88">
        <f t="shared" si="50"/>
        <v>71</v>
      </c>
      <c r="E96" s="88">
        <v>2</v>
      </c>
      <c r="G96" s="88" t="str">
        <f t="shared" ca="1" si="47"/>
        <v>089</v>
      </c>
      <c r="H96" s="90" t="str">
        <f t="shared" ca="1" si="43"/>
        <v>SAG_THRES_15</v>
      </c>
      <c r="I96" s="91" t="str">
        <f t="shared" ca="1" si="44"/>
        <v>0</v>
      </c>
      <c r="J96" s="92" t="s">
        <v>12</v>
      </c>
      <c r="K96" s="92">
        <f t="shared" ca="1" si="42"/>
        <v>0</v>
      </c>
      <c r="L96" s="80"/>
      <c r="N96" s="88">
        <f t="shared" si="51"/>
        <v>214</v>
      </c>
      <c r="O96" s="88">
        <v>2</v>
      </c>
      <c r="Q96" s="88" t="str">
        <f t="shared" ca="1" si="48"/>
        <v>089</v>
      </c>
      <c r="R96" s="90" t="str">
        <f t="shared" ca="1" si="45"/>
        <v>ZC_N_CH2</v>
      </c>
      <c r="S96" s="91" t="str">
        <f t="shared" ca="1" si="32"/>
        <v>3050CA</v>
      </c>
      <c r="T96" s="92" t="s">
        <v>19</v>
      </c>
      <c r="U96" s="92">
        <f t="shared" ca="1" si="39"/>
        <v>773.04931640625</v>
      </c>
      <c r="V96" s="80"/>
      <c r="X96" s="88">
        <f t="shared" si="52"/>
        <v>277</v>
      </c>
      <c r="Y96" s="88">
        <v>2</v>
      </c>
      <c r="AA96" s="88" t="str">
        <f t="shared" ca="1" si="49"/>
        <v>089</v>
      </c>
      <c r="AB96" s="90" t="str">
        <f t="shared" ca="1" si="46"/>
        <v>P_CH25</v>
      </c>
      <c r="AC96" s="91" t="str">
        <f t="shared" ca="1" si="33"/>
        <v>0</v>
      </c>
      <c r="AD96" s="92" t="s">
        <v>21</v>
      </c>
      <c r="AE96" s="92">
        <f t="shared" ca="1" si="53"/>
        <v>0</v>
      </c>
      <c r="AF96" s="80"/>
    </row>
    <row r="97" spans="1:32">
      <c r="A97" s="79" t="str">
        <f>'CALIBRATION GUIDE'!B148</f>
        <v>140 CAL_M_02       141 CAL_M_03       142 CAL_M_04       143 CAL_M_05</v>
      </c>
      <c r="D97" s="88">
        <f t="shared" si="50"/>
        <v>71</v>
      </c>
      <c r="E97" s="88">
        <v>3</v>
      </c>
      <c r="G97" s="88" t="str">
        <f t="shared" ca="1" si="47"/>
        <v>090</v>
      </c>
      <c r="H97" s="90" t="str">
        <f t="shared" ca="1" si="43"/>
        <v>SAG_THRES_16</v>
      </c>
      <c r="I97" s="91" t="str">
        <f t="shared" ca="1" si="44"/>
        <v>0</v>
      </c>
      <c r="J97" s="92" t="s">
        <v>12</v>
      </c>
      <c r="K97" s="92">
        <f t="shared" ca="1" si="42"/>
        <v>0</v>
      </c>
      <c r="L97" s="80"/>
      <c r="N97" s="88">
        <f t="shared" si="51"/>
        <v>214</v>
      </c>
      <c r="O97" s="88">
        <v>3</v>
      </c>
      <c r="Q97" s="88" t="str">
        <f t="shared" ca="1" si="48"/>
        <v>090</v>
      </c>
      <c r="R97" s="90" t="str">
        <f t="shared" ca="1" si="45"/>
        <v>ZC_N_CH3</v>
      </c>
      <c r="S97" s="91" t="str">
        <f t="shared" ca="1" si="32"/>
        <v>0</v>
      </c>
      <c r="T97" s="92" t="s">
        <v>19</v>
      </c>
      <c r="U97" s="92">
        <f t="shared" ca="1" si="39"/>
        <v>0</v>
      </c>
      <c r="V97" s="80"/>
      <c r="X97" s="88">
        <f t="shared" si="52"/>
        <v>277</v>
      </c>
      <c r="Y97" s="88">
        <v>3</v>
      </c>
      <c r="AA97" s="88" t="str">
        <f t="shared" ca="1" si="49"/>
        <v>090</v>
      </c>
      <c r="AB97" s="90" t="str">
        <f t="shared" ca="1" si="46"/>
        <v>P_CH26</v>
      </c>
      <c r="AC97" s="91" t="str">
        <f t="shared" ca="1" si="33"/>
        <v>0</v>
      </c>
      <c r="AD97" s="92" t="s">
        <v>21</v>
      </c>
      <c r="AE97" s="92">
        <f t="shared" ca="1" si="53"/>
        <v>0</v>
      </c>
      <c r="AF97" s="80"/>
    </row>
    <row r="98" spans="1:32">
      <c r="A98" s="79" t="str">
        <f>'CALIBRATION GUIDE'!B149</f>
        <v>20000000           20000000           20000000           20000000</v>
      </c>
      <c r="D98" s="88">
        <f t="shared" si="50"/>
        <v>71</v>
      </c>
      <c r="E98" s="88">
        <v>4</v>
      </c>
      <c r="G98" s="88" t="str">
        <f t="shared" ca="1" si="47"/>
        <v>091</v>
      </c>
      <c r="H98" s="90" t="str">
        <f t="shared" ca="1" si="43"/>
        <v>SAG_THRES_17</v>
      </c>
      <c r="I98" s="91" t="str">
        <f t="shared" ca="1" si="44"/>
        <v>0</v>
      </c>
      <c r="J98" s="92" t="s">
        <v>12</v>
      </c>
      <c r="K98" s="92">
        <f t="shared" ca="1" si="42"/>
        <v>0</v>
      </c>
      <c r="L98" s="80"/>
      <c r="N98" s="88">
        <f t="shared" si="51"/>
        <v>214</v>
      </c>
      <c r="O98" s="88">
        <v>4</v>
      </c>
      <c r="Q98" s="88" t="str">
        <f t="shared" ca="1" si="48"/>
        <v>091</v>
      </c>
      <c r="R98" s="90" t="str">
        <f t="shared" ca="1" si="45"/>
        <v>ZC_N_CH4</v>
      </c>
      <c r="S98" s="91" t="str">
        <f t="shared" ca="1" si="32"/>
        <v>0</v>
      </c>
      <c r="T98" s="92" t="s">
        <v>19</v>
      </c>
      <c r="U98" s="92">
        <f t="shared" ca="1" si="39"/>
        <v>0</v>
      </c>
      <c r="V98" s="80"/>
      <c r="X98" s="88">
        <f t="shared" si="52"/>
        <v>277</v>
      </c>
      <c r="Y98" s="88">
        <v>4</v>
      </c>
      <c r="AA98" s="88" t="str">
        <f t="shared" ca="1" si="49"/>
        <v>091</v>
      </c>
      <c r="AB98" s="90" t="str">
        <f t="shared" ca="1" si="46"/>
        <v>P_CH27</v>
      </c>
      <c r="AC98" s="91" t="str">
        <f t="shared" ca="1" si="33"/>
        <v>0</v>
      </c>
      <c r="AD98" s="92" t="s">
        <v>21</v>
      </c>
      <c r="AE98" s="92">
        <f t="shared" ca="1" si="53"/>
        <v>0</v>
      </c>
      <c r="AF98" s="80"/>
    </row>
    <row r="99" spans="1:32">
      <c r="A99" s="79" t="str">
        <f>'CALIBRATION GUIDE'!B150</f>
        <v>144 CAL_M_06       145 CAL_M_07       146 CAL_M_08       147 CAL_M_09</v>
      </c>
      <c r="D99" s="88">
        <f t="shared" si="50"/>
        <v>73</v>
      </c>
      <c r="E99" s="88">
        <v>1</v>
      </c>
      <c r="G99" s="88" t="str">
        <f t="shared" ca="1" si="47"/>
        <v>092</v>
      </c>
      <c r="H99" s="90" t="str">
        <f t="shared" ca="1" si="43"/>
        <v>SAG_THRES_18</v>
      </c>
      <c r="I99" s="91" t="str">
        <f t="shared" ca="1" si="44"/>
        <v>0</v>
      </c>
      <c r="J99" s="92" t="s">
        <v>12</v>
      </c>
      <c r="K99" s="92">
        <f t="shared" ca="1" si="42"/>
        <v>0</v>
      </c>
      <c r="L99" s="80"/>
      <c r="N99" s="88">
        <f t="shared" si="51"/>
        <v>216</v>
      </c>
      <c r="O99" s="88">
        <v>1</v>
      </c>
      <c r="Q99" s="88" t="str">
        <f t="shared" ca="1" si="48"/>
        <v>092</v>
      </c>
      <c r="R99" s="90" t="str">
        <f t="shared" ca="1" si="45"/>
        <v>ZC_N_CH5</v>
      </c>
      <c r="S99" s="91" t="str">
        <f t="shared" ca="1" si="32"/>
        <v>0</v>
      </c>
      <c r="T99" s="92" t="s">
        <v>19</v>
      </c>
      <c r="U99" s="92">
        <f t="shared" ca="1" si="39"/>
        <v>0</v>
      </c>
      <c r="V99" s="80"/>
      <c r="X99" s="88">
        <f t="shared" si="52"/>
        <v>279</v>
      </c>
      <c r="Y99" s="88">
        <v>1</v>
      </c>
      <c r="AA99" s="88" t="str">
        <f t="shared" ca="1" si="49"/>
        <v>092</v>
      </c>
      <c r="AB99" s="90" t="str">
        <f t="shared" ca="1" si="46"/>
        <v>P_CH28</v>
      </c>
      <c r="AC99" s="91" t="str">
        <f t="shared" ca="1" si="33"/>
        <v>0</v>
      </c>
      <c r="AD99" s="92" t="s">
        <v>21</v>
      </c>
      <c r="AE99" s="92">
        <f t="shared" ca="1" si="53"/>
        <v>0</v>
      </c>
      <c r="AF99" s="80"/>
    </row>
    <row r="100" spans="1:32">
      <c r="A100" s="79" t="str">
        <f>'CALIBRATION GUIDE'!B151</f>
        <v>20000000           20000000           20000000           20000000</v>
      </c>
      <c r="D100" s="88">
        <f t="shared" si="50"/>
        <v>73</v>
      </c>
      <c r="E100" s="88">
        <v>2</v>
      </c>
      <c r="G100" s="88" t="str">
        <f t="shared" ca="1" si="47"/>
        <v>093</v>
      </c>
      <c r="H100" s="90" t="str">
        <f t="shared" ca="1" si="43"/>
        <v>SAG_THRES_19</v>
      </c>
      <c r="I100" s="91" t="str">
        <f t="shared" ca="1" si="44"/>
        <v>0</v>
      </c>
      <c r="J100" s="92" t="s">
        <v>12</v>
      </c>
      <c r="K100" s="92">
        <f t="shared" ca="1" si="42"/>
        <v>0</v>
      </c>
      <c r="L100" s="80"/>
      <c r="N100" s="88">
        <f t="shared" si="51"/>
        <v>216</v>
      </c>
      <c r="O100" s="88">
        <v>2</v>
      </c>
      <c r="Q100" s="88" t="str">
        <f t="shared" ca="1" si="48"/>
        <v>093</v>
      </c>
      <c r="R100" s="90" t="str">
        <f t="shared" ca="1" si="45"/>
        <v>ZC_N_CH6</v>
      </c>
      <c r="S100" s="91" t="str">
        <f t="shared" ca="1" si="32"/>
        <v>0</v>
      </c>
      <c r="T100" s="92" t="s">
        <v>19</v>
      </c>
      <c r="U100" s="92">
        <f t="shared" ca="1" si="39"/>
        <v>0</v>
      </c>
      <c r="V100" s="80"/>
      <c r="X100" s="88">
        <f t="shared" si="52"/>
        <v>279</v>
      </c>
      <c r="Y100" s="88">
        <v>2</v>
      </c>
      <c r="AA100" s="88" t="str">
        <f t="shared" ca="1" si="49"/>
        <v>093</v>
      </c>
      <c r="AB100" s="90" t="str">
        <f t="shared" ca="1" si="46"/>
        <v>P_CH29</v>
      </c>
      <c r="AC100" s="91" t="str">
        <f t="shared" ca="1" si="33"/>
        <v>0</v>
      </c>
      <c r="AD100" s="92" t="s">
        <v>21</v>
      </c>
      <c r="AE100" s="92">
        <f t="shared" ca="1" si="53"/>
        <v>0</v>
      </c>
      <c r="AF100" s="80"/>
    </row>
    <row r="101" spans="1:32">
      <c r="A101" s="79" t="str">
        <f>'CALIBRATION GUIDE'!B152</f>
        <v>148 CAL_M_10       149 CAL_M_11       150 CAL_M_12       151 CAL_M_13</v>
      </c>
      <c r="D101" s="88">
        <f t="shared" si="50"/>
        <v>73</v>
      </c>
      <c r="E101" s="88">
        <v>3</v>
      </c>
      <c r="G101" s="88" t="str">
        <f t="shared" ca="1" si="47"/>
        <v>094</v>
      </c>
      <c r="H101" s="90" t="str">
        <f t="shared" ca="1" si="43"/>
        <v>SAG_THRES_20</v>
      </c>
      <c r="I101" s="91" t="str">
        <f t="shared" ca="1" si="44"/>
        <v>0</v>
      </c>
      <c r="J101" s="92" t="s">
        <v>12</v>
      </c>
      <c r="K101" s="92">
        <f t="shared" ca="1" si="42"/>
        <v>0</v>
      </c>
      <c r="L101" s="80"/>
      <c r="N101" s="88">
        <f t="shared" si="51"/>
        <v>216</v>
      </c>
      <c r="O101" s="88">
        <v>3</v>
      </c>
      <c r="Q101" s="88" t="str">
        <f t="shared" ca="1" si="48"/>
        <v>094</v>
      </c>
      <c r="R101" s="90" t="str">
        <f t="shared" ca="1" si="45"/>
        <v>ZC_N_CH7</v>
      </c>
      <c r="S101" s="91" t="str">
        <f t="shared" ca="1" si="32"/>
        <v>354000</v>
      </c>
      <c r="T101" s="92" t="s">
        <v>19</v>
      </c>
      <c r="U101" s="92">
        <f t="shared" ca="1" si="39"/>
        <v>852</v>
      </c>
      <c r="V101" s="80"/>
      <c r="X101" s="88">
        <f t="shared" si="52"/>
        <v>279</v>
      </c>
      <c r="Y101" s="88">
        <v>3</v>
      </c>
      <c r="AA101" s="88" t="str">
        <f t="shared" ca="1" si="49"/>
        <v>094</v>
      </c>
      <c r="AB101" s="90" t="str">
        <f t="shared" ca="1" si="46"/>
        <v>P_CH30</v>
      </c>
      <c r="AC101" s="91" t="str">
        <f t="shared" ca="1" si="33"/>
        <v>0</v>
      </c>
      <c r="AD101" s="92" t="s">
        <v>21</v>
      </c>
      <c r="AE101" s="92">
        <f t="shared" ca="1" si="53"/>
        <v>0</v>
      </c>
      <c r="AF101" s="80"/>
    </row>
    <row r="102" spans="1:32">
      <c r="A102" s="79" t="str">
        <f>'CALIBRATION GUIDE'!B153</f>
        <v>20000000           20000000           20000000           20000000</v>
      </c>
      <c r="D102" s="88">
        <f t="shared" si="50"/>
        <v>73</v>
      </c>
      <c r="E102" s="88">
        <v>4</v>
      </c>
      <c r="G102" s="88" t="str">
        <f t="shared" ca="1" si="47"/>
        <v>095</v>
      </c>
      <c r="H102" s="90" t="str">
        <f t="shared" ca="1" si="43"/>
        <v>SAG_THRES_21</v>
      </c>
      <c r="I102" s="91" t="str">
        <f t="shared" ca="1" si="44"/>
        <v>0</v>
      </c>
      <c r="J102" s="92" t="s">
        <v>12</v>
      </c>
      <c r="K102" s="92">
        <f t="shared" ca="1" si="42"/>
        <v>0</v>
      </c>
      <c r="L102" s="80"/>
      <c r="N102" s="88">
        <f t="shared" si="51"/>
        <v>216</v>
      </c>
      <c r="O102" s="88">
        <v>4</v>
      </c>
      <c r="Q102" s="88" t="str">
        <f t="shared" ca="1" si="48"/>
        <v>095</v>
      </c>
      <c r="R102" s="90" t="str">
        <f t="shared" ca="1" si="45"/>
        <v>ZC_N_CH8</v>
      </c>
      <c r="S102" s="91" t="str">
        <f t="shared" ca="1" si="32"/>
        <v>0</v>
      </c>
      <c r="T102" s="92" t="s">
        <v>19</v>
      </c>
      <c r="U102" s="92">
        <f t="shared" ca="1" si="39"/>
        <v>0</v>
      </c>
      <c r="V102" s="80"/>
      <c r="X102" s="88">
        <f t="shared" si="52"/>
        <v>279</v>
      </c>
      <c r="Y102" s="88">
        <v>4</v>
      </c>
      <c r="AA102" s="88" t="str">
        <f t="shared" ca="1" si="49"/>
        <v>095</v>
      </c>
      <c r="AB102" s="90" t="str">
        <f t="shared" ca="1" si="46"/>
        <v>RESERVED_A095</v>
      </c>
      <c r="AC102" s="91" t="str">
        <f t="shared" ca="1" si="33"/>
        <v>0</v>
      </c>
      <c r="AD102" s="92" t="s">
        <v>12</v>
      </c>
      <c r="AE102" s="92">
        <f t="shared" ca="1" si="53"/>
        <v>0</v>
      </c>
      <c r="AF102" s="80"/>
    </row>
    <row r="103" spans="1:32">
      <c r="A103" s="79" t="str">
        <f>'CALIBRATION GUIDE'!B154</f>
        <v>152 CAL_M_14       153 CAL_M_15       154 CAL_M_16       155 CAL_M_17</v>
      </c>
      <c r="D103" s="88">
        <f t="shared" si="50"/>
        <v>75</v>
      </c>
      <c r="E103" s="88">
        <v>1</v>
      </c>
      <c r="G103" s="88" t="str">
        <f t="shared" ca="1" si="47"/>
        <v>096</v>
      </c>
      <c r="H103" s="90" t="str">
        <f t="shared" ca="1" si="43"/>
        <v>SAG_THRES_22</v>
      </c>
      <c r="I103" s="91" t="str">
        <f t="shared" ca="1" si="44"/>
        <v>0</v>
      </c>
      <c r="J103" s="92" t="s">
        <v>12</v>
      </c>
      <c r="K103" s="92">
        <f t="shared" ca="1" si="42"/>
        <v>0</v>
      </c>
      <c r="L103" s="80"/>
      <c r="N103" s="88">
        <f t="shared" si="51"/>
        <v>218</v>
      </c>
      <c r="O103" s="88">
        <v>1</v>
      </c>
      <c r="Q103" s="88" t="str">
        <f t="shared" ca="1" si="48"/>
        <v>096</v>
      </c>
      <c r="R103" s="90" t="str">
        <f t="shared" ca="1" si="45"/>
        <v>ZC_N_CH9</v>
      </c>
      <c r="S103" s="91" t="str">
        <f t="shared" ca="1" si="32"/>
        <v>0</v>
      </c>
      <c r="T103" s="92" t="s">
        <v>19</v>
      </c>
      <c r="U103" s="92">
        <f t="shared" ca="1" si="39"/>
        <v>0</v>
      </c>
      <c r="V103" s="80"/>
      <c r="X103" s="88">
        <f t="shared" si="52"/>
        <v>281</v>
      </c>
      <c r="Y103" s="88">
        <v>1</v>
      </c>
      <c r="AA103" s="88" t="str">
        <f t="shared" ca="1" si="49"/>
        <v>096</v>
      </c>
      <c r="AB103" s="90" t="str">
        <f t="shared" ca="1" si="46"/>
        <v>P_CH0_F</v>
      </c>
      <c r="AC103" s="91" t="str">
        <f t="shared" ca="1" si="33"/>
        <v>CF09E468490</v>
      </c>
      <c r="AD103" s="92" t="s">
        <v>21</v>
      </c>
      <c r="AE103" s="92">
        <f t="shared" ca="1" si="53"/>
        <v>12.939915091861621</v>
      </c>
      <c r="AF103" s="80"/>
    </row>
    <row r="104" spans="1:32">
      <c r="A104" s="79" t="str">
        <f>'CALIBRATION GUIDE'!B155</f>
        <v>20000000           20000000           20000000           20000000</v>
      </c>
      <c r="D104" s="88">
        <f t="shared" si="50"/>
        <v>75</v>
      </c>
      <c r="E104" s="88">
        <v>2</v>
      </c>
      <c r="G104" s="88" t="str">
        <f t="shared" ref="G104:G167" ca="1" si="54">MID(INDIRECT(ADDRESS(D104,1)),(E104-1)*19+1,3)</f>
        <v>097</v>
      </c>
      <c r="H104" s="90" t="str">
        <f t="shared" ref="H104:H167" ca="1" si="55">TRIM(MID(INDIRECT(ADDRESS(D104,1)),(E104-1)*19+4,16))</f>
        <v>SAG_THRES_23</v>
      </c>
      <c r="I104" s="91" t="str">
        <f t="shared" ref="I104:I167" ca="1" si="56">TRIM(MID(INDIRECT(ADDRESS(D104+1,1)),(E104-1)*19+1,19))</f>
        <v>0</v>
      </c>
      <c r="J104" s="92" t="s">
        <v>12</v>
      </c>
      <c r="K104" s="92">
        <f t="shared" ref="K104:K167" ca="1" si="57">HEX2DEC(IF(AND(LEN(I104)=8,HEX2DEC(LEFT(I104,1))&gt;7),"FF","00")&amp;I104)/2^(0+MID(J104,FIND(".",J104)+1,2))</f>
        <v>0</v>
      </c>
      <c r="L104" s="80"/>
      <c r="N104" s="88">
        <f t="shared" si="51"/>
        <v>218</v>
      </c>
      <c r="O104" s="88">
        <v>2</v>
      </c>
      <c r="Q104" s="88" t="str">
        <f t="shared" ca="1" si="48"/>
        <v>097</v>
      </c>
      <c r="R104" s="90" t="str">
        <f t="shared" ca="1" si="45"/>
        <v>ZC_N_CH10</v>
      </c>
      <c r="S104" s="91" t="str">
        <f t="shared" ca="1" si="32"/>
        <v>0</v>
      </c>
      <c r="T104" s="92" t="s">
        <v>19</v>
      </c>
      <c r="U104" s="92">
        <f t="shared" ca="1" si="39"/>
        <v>0</v>
      </c>
      <c r="V104" s="80"/>
      <c r="X104" s="88">
        <f t="shared" si="52"/>
        <v>281</v>
      </c>
      <c r="Y104" s="88">
        <v>2</v>
      </c>
      <c r="AA104" s="88" t="str">
        <f t="shared" ca="1" si="49"/>
        <v>097</v>
      </c>
      <c r="AB104" s="90" t="str">
        <f t="shared" ca="1" si="46"/>
        <v>P_CH1_F</v>
      </c>
      <c r="AC104" s="91" t="str">
        <f t="shared" ca="1" si="33"/>
        <v>CEAC7264C2A</v>
      </c>
      <c r="AD104" s="92" t="s">
        <v>21</v>
      </c>
      <c r="AE104" s="92">
        <f t="shared" ca="1" si="53"/>
        <v>12.917101281733267</v>
      </c>
      <c r="AF104" s="80"/>
    </row>
    <row r="105" spans="1:32">
      <c r="A105" s="79" t="str">
        <f>'CALIBRATION GUIDE'!B156</f>
        <v>156 CAL_M_18       157 CAL_M_19       158 CAL_M_20       159 CAL_M_21</v>
      </c>
      <c r="D105" s="88">
        <f t="shared" si="50"/>
        <v>75</v>
      </c>
      <c r="E105" s="88">
        <v>3</v>
      </c>
      <c r="G105" s="88" t="str">
        <f t="shared" ca="1" si="54"/>
        <v>098</v>
      </c>
      <c r="H105" s="90" t="str">
        <f t="shared" ca="1" si="55"/>
        <v>SAG_THRES_24</v>
      </c>
      <c r="I105" s="91" t="str">
        <f t="shared" ca="1" si="56"/>
        <v>0</v>
      </c>
      <c r="J105" s="92" t="s">
        <v>12</v>
      </c>
      <c r="K105" s="92">
        <f t="shared" ca="1" si="57"/>
        <v>0</v>
      </c>
      <c r="L105" s="80"/>
      <c r="N105" s="88">
        <f t="shared" si="51"/>
        <v>218</v>
      </c>
      <c r="O105" s="88">
        <v>3</v>
      </c>
      <c r="Q105" s="88" t="str">
        <f t="shared" ca="1" si="48"/>
        <v>098</v>
      </c>
      <c r="R105" s="90" t="str">
        <f t="shared" ca="1" si="45"/>
        <v>ZC_N_CH11</v>
      </c>
      <c r="S105" s="91" t="str">
        <f t="shared" ca="1" si="32"/>
        <v>0</v>
      </c>
      <c r="T105" s="92" t="s">
        <v>19</v>
      </c>
      <c r="U105" s="92">
        <f t="shared" ca="1" si="39"/>
        <v>0</v>
      </c>
      <c r="V105" s="80"/>
      <c r="X105" s="88">
        <f t="shared" si="52"/>
        <v>281</v>
      </c>
      <c r="Y105" s="88">
        <v>3</v>
      </c>
      <c r="AA105" s="88" t="str">
        <f t="shared" ca="1" si="49"/>
        <v>098</v>
      </c>
      <c r="AB105" s="90" t="str">
        <f t="shared" ca="1" si="46"/>
        <v>P_CH2_F</v>
      </c>
      <c r="AC105" s="91" t="str">
        <f t="shared" ca="1" si="33"/>
        <v>CEAA3FEF907</v>
      </c>
      <c r="AD105" s="92" t="s">
        <v>21</v>
      </c>
      <c r="AE105" s="92">
        <f t="shared" ca="1" si="53"/>
        <v>12.916564880178157</v>
      </c>
      <c r="AF105" s="80"/>
    </row>
    <row r="106" spans="1:32">
      <c r="A106" s="79" t="str">
        <f>'CALIBRATION GUIDE'!B157</f>
        <v>20000000           20000000           20000000           20000000</v>
      </c>
      <c r="D106" s="88">
        <f t="shared" si="50"/>
        <v>75</v>
      </c>
      <c r="E106" s="88">
        <v>4</v>
      </c>
      <c r="G106" s="88" t="str">
        <f t="shared" ca="1" si="54"/>
        <v>099</v>
      </c>
      <c r="H106" s="90" t="str">
        <f t="shared" ca="1" si="55"/>
        <v>SAG_THRES_25</v>
      </c>
      <c r="I106" s="91" t="str">
        <f t="shared" ca="1" si="56"/>
        <v>0</v>
      </c>
      <c r="J106" s="92" t="s">
        <v>12</v>
      </c>
      <c r="K106" s="92">
        <f t="shared" ca="1" si="57"/>
        <v>0</v>
      </c>
      <c r="L106" s="80"/>
      <c r="N106" s="88">
        <f t="shared" si="51"/>
        <v>218</v>
      </c>
      <c r="O106" s="88">
        <v>4</v>
      </c>
      <c r="Q106" s="88" t="str">
        <f t="shared" ca="1" si="48"/>
        <v>099</v>
      </c>
      <c r="R106" s="90" t="str">
        <f t="shared" ca="1" si="45"/>
        <v>ZC_N_CH12</v>
      </c>
      <c r="S106" s="91" t="str">
        <f t="shared" ca="1" si="32"/>
        <v>0</v>
      </c>
      <c r="T106" s="92" t="s">
        <v>19</v>
      </c>
      <c r="U106" s="92">
        <f t="shared" ca="1" si="39"/>
        <v>0</v>
      </c>
      <c r="V106" s="80"/>
      <c r="X106" s="88">
        <f t="shared" si="52"/>
        <v>281</v>
      </c>
      <c r="Y106" s="88">
        <v>4</v>
      </c>
      <c r="AA106" s="88" t="str">
        <f t="shared" ca="1" si="49"/>
        <v>099</v>
      </c>
      <c r="AB106" s="90" t="str">
        <f t="shared" ca="1" si="46"/>
        <v>P_CH3_F</v>
      </c>
      <c r="AC106" s="91" t="str">
        <f t="shared" ca="1" si="33"/>
        <v>0</v>
      </c>
      <c r="AD106" s="92" t="s">
        <v>21</v>
      </c>
      <c r="AE106" s="92">
        <f t="shared" ca="1" si="53"/>
        <v>0</v>
      </c>
      <c r="AF106" s="80"/>
    </row>
    <row r="107" spans="1:32">
      <c r="A107" s="79" t="str">
        <f>'CALIBRATION GUIDE'!B158</f>
        <v>160 CAL_M_22       161 CAL_M_23       162 CAL_M_24       163 CAL_M_25</v>
      </c>
      <c r="D107" s="88">
        <f t="shared" si="50"/>
        <v>77</v>
      </c>
      <c r="E107" s="88">
        <v>1</v>
      </c>
      <c r="G107" s="88" t="str">
        <f t="shared" ca="1" si="54"/>
        <v>100</v>
      </c>
      <c r="H107" s="90" t="str">
        <f t="shared" ca="1" si="55"/>
        <v>SAG_THRES_26</v>
      </c>
      <c r="I107" s="91" t="str">
        <f t="shared" ca="1" si="56"/>
        <v>0</v>
      </c>
      <c r="J107" s="92" t="s">
        <v>12</v>
      </c>
      <c r="K107" s="92">
        <f t="shared" ca="1" si="57"/>
        <v>0</v>
      </c>
      <c r="L107" s="80"/>
      <c r="N107" s="88">
        <f t="shared" si="51"/>
        <v>220</v>
      </c>
      <c r="O107" s="88">
        <v>1</v>
      </c>
      <c r="Q107" s="88" t="str">
        <f t="shared" ca="1" si="48"/>
        <v>100</v>
      </c>
      <c r="R107" s="90" t="str">
        <f t="shared" ca="1" si="45"/>
        <v>ZC_N_CH13</v>
      </c>
      <c r="S107" s="91" t="str">
        <f t="shared" ca="1" si="32"/>
        <v>0</v>
      </c>
      <c r="T107" s="92" t="s">
        <v>19</v>
      </c>
      <c r="U107" s="92">
        <f t="shared" ca="1" si="39"/>
        <v>0</v>
      </c>
      <c r="V107" s="80"/>
      <c r="X107" s="88">
        <f t="shared" si="52"/>
        <v>283</v>
      </c>
      <c r="Y107" s="88">
        <v>1</v>
      </c>
      <c r="AA107" s="88" t="str">
        <f t="shared" ca="1" si="49"/>
        <v>100</v>
      </c>
      <c r="AB107" s="90" t="str">
        <f t="shared" ca="1" si="46"/>
        <v>P_CH4_F</v>
      </c>
      <c r="AC107" s="91" t="str">
        <f t="shared" ca="1" si="33"/>
        <v>0</v>
      </c>
      <c r="AD107" s="92" t="s">
        <v>21</v>
      </c>
      <c r="AE107" s="92">
        <f t="shared" ca="1" si="53"/>
        <v>0</v>
      </c>
      <c r="AF107" s="80"/>
    </row>
    <row r="108" spans="1:32">
      <c r="A108" s="79" t="str">
        <f>'CALIBRATION GUIDE'!B159</f>
        <v>20000000           20000000           20000000           20000000</v>
      </c>
      <c r="D108" s="88">
        <f t="shared" si="50"/>
        <v>77</v>
      </c>
      <c r="E108" s="88">
        <v>2</v>
      </c>
      <c r="G108" s="88" t="str">
        <f t="shared" ca="1" si="54"/>
        <v>101</v>
      </c>
      <c r="H108" s="90" t="str">
        <f t="shared" ca="1" si="55"/>
        <v>SAG_THRES_27</v>
      </c>
      <c r="I108" s="91" t="str">
        <f t="shared" ca="1" si="56"/>
        <v>0</v>
      </c>
      <c r="J108" s="92" t="s">
        <v>12</v>
      </c>
      <c r="K108" s="92">
        <f t="shared" ca="1" si="57"/>
        <v>0</v>
      </c>
      <c r="L108" s="80"/>
      <c r="N108" s="88">
        <f t="shared" si="51"/>
        <v>220</v>
      </c>
      <c r="O108" s="88">
        <v>2</v>
      </c>
      <c r="Q108" s="88" t="str">
        <f t="shared" ca="1" si="48"/>
        <v>101</v>
      </c>
      <c r="R108" s="90" t="str">
        <f t="shared" ca="1" si="45"/>
        <v>ZC_N_CH14</v>
      </c>
      <c r="S108" s="91" t="str">
        <f t="shared" ca="1" si="32"/>
        <v>0</v>
      </c>
      <c r="T108" s="92" t="s">
        <v>19</v>
      </c>
      <c r="U108" s="92">
        <f t="shared" ca="1" si="39"/>
        <v>0</v>
      </c>
      <c r="V108" s="80"/>
      <c r="X108" s="88">
        <f t="shared" si="52"/>
        <v>283</v>
      </c>
      <c r="Y108" s="88">
        <v>2</v>
      </c>
      <c r="AA108" s="88" t="str">
        <f t="shared" ca="1" si="49"/>
        <v>101</v>
      </c>
      <c r="AB108" s="90" t="str">
        <f t="shared" ca="1" si="46"/>
        <v>P_CH5_F</v>
      </c>
      <c r="AC108" s="91" t="str">
        <f t="shared" ca="1" si="33"/>
        <v>0</v>
      </c>
      <c r="AD108" s="92" t="s">
        <v>21</v>
      </c>
      <c r="AE108" s="92">
        <f t="shared" ca="1" si="53"/>
        <v>0</v>
      </c>
      <c r="AF108" s="80"/>
    </row>
    <row r="109" spans="1:32">
      <c r="A109" s="79" t="str">
        <f>'CALIBRATION GUIDE'!B160</f>
        <v>164 CAL_M_26       165 CAL_M_27       166 CAL_M_28       167 CAL_M_29</v>
      </c>
      <c r="D109" s="88">
        <f t="shared" si="50"/>
        <v>77</v>
      </c>
      <c r="E109" s="88">
        <v>3</v>
      </c>
      <c r="G109" s="88" t="str">
        <f t="shared" ca="1" si="54"/>
        <v>102</v>
      </c>
      <c r="H109" s="90" t="str">
        <f t="shared" ca="1" si="55"/>
        <v>SAG_THRES_28</v>
      </c>
      <c r="I109" s="91" t="str">
        <f t="shared" ca="1" si="56"/>
        <v>0</v>
      </c>
      <c r="J109" s="92" t="s">
        <v>12</v>
      </c>
      <c r="K109" s="92">
        <f t="shared" ca="1" si="57"/>
        <v>0</v>
      </c>
      <c r="L109" s="80"/>
      <c r="N109" s="88">
        <f t="shared" si="51"/>
        <v>220</v>
      </c>
      <c r="O109" s="88">
        <v>3</v>
      </c>
      <c r="Q109" s="88" t="str">
        <f t="shared" ca="1" si="48"/>
        <v>102</v>
      </c>
      <c r="R109" s="90" t="str">
        <f t="shared" ca="1" si="45"/>
        <v>ZC_N_CH15</v>
      </c>
      <c r="S109" s="91" t="str">
        <f t="shared" ca="1" si="32"/>
        <v>0</v>
      </c>
      <c r="T109" s="92" t="s">
        <v>19</v>
      </c>
      <c r="U109" s="92">
        <f t="shared" ca="1" si="39"/>
        <v>0</v>
      </c>
      <c r="V109" s="80"/>
      <c r="X109" s="88">
        <f t="shared" si="52"/>
        <v>283</v>
      </c>
      <c r="Y109" s="88">
        <v>3</v>
      </c>
      <c r="AA109" s="88" t="str">
        <f t="shared" ca="1" si="49"/>
        <v>102</v>
      </c>
      <c r="AB109" s="90" t="str">
        <f t="shared" ca="1" si="46"/>
        <v>P_CH6_F</v>
      </c>
      <c r="AC109" s="91" t="str">
        <f t="shared" ca="1" si="33"/>
        <v>0</v>
      </c>
      <c r="AD109" s="92" t="s">
        <v>21</v>
      </c>
      <c r="AE109" s="92">
        <f t="shared" ca="1" si="53"/>
        <v>0</v>
      </c>
      <c r="AF109" s="80"/>
    </row>
    <row r="110" spans="1:32">
      <c r="A110" s="79" t="str">
        <f>'CALIBRATION GUIDE'!B161</f>
        <v>20000000           20000000           20000000           20000000</v>
      </c>
      <c r="D110" s="88">
        <f t="shared" si="50"/>
        <v>77</v>
      </c>
      <c r="E110" s="88">
        <v>4</v>
      </c>
      <c r="G110" s="88" t="str">
        <f t="shared" ca="1" si="54"/>
        <v>103</v>
      </c>
      <c r="H110" s="90" t="str">
        <f t="shared" ca="1" si="55"/>
        <v>SAG_THRES_29</v>
      </c>
      <c r="I110" s="91" t="str">
        <f t="shared" ca="1" si="56"/>
        <v>0</v>
      </c>
      <c r="J110" s="92" t="s">
        <v>12</v>
      </c>
      <c r="K110" s="92">
        <f t="shared" ca="1" si="57"/>
        <v>0</v>
      </c>
      <c r="L110" s="80"/>
      <c r="N110" s="88">
        <f t="shared" si="51"/>
        <v>220</v>
      </c>
      <c r="O110" s="88">
        <v>4</v>
      </c>
      <c r="Q110" s="88" t="str">
        <f t="shared" ca="1" si="48"/>
        <v>103</v>
      </c>
      <c r="R110" s="90" t="str">
        <f t="shared" ca="1" si="45"/>
        <v>ZC_N_CH16</v>
      </c>
      <c r="S110" s="91" t="str">
        <f t="shared" ca="1" si="32"/>
        <v>0</v>
      </c>
      <c r="T110" s="92" t="s">
        <v>19</v>
      </c>
      <c r="U110" s="92">
        <f t="shared" ca="1" si="39"/>
        <v>0</v>
      </c>
      <c r="V110" s="80"/>
      <c r="X110" s="88">
        <f t="shared" si="52"/>
        <v>283</v>
      </c>
      <c r="Y110" s="88">
        <v>4</v>
      </c>
      <c r="AA110" s="88" t="str">
        <f t="shared" ca="1" si="49"/>
        <v>103</v>
      </c>
      <c r="AB110" s="90" t="str">
        <f t="shared" ca="1" si="46"/>
        <v>P_CH7_F</v>
      </c>
      <c r="AC110" s="91" t="str">
        <f t="shared" ca="1" si="33"/>
        <v>0</v>
      </c>
      <c r="AD110" s="92" t="s">
        <v>21</v>
      </c>
      <c r="AE110" s="92">
        <f t="shared" ca="1" si="53"/>
        <v>0</v>
      </c>
      <c r="AF110" s="80"/>
    </row>
    <row r="111" spans="1:32">
      <c r="A111" s="79" t="str">
        <f>'CALIBRATION GUIDE'!B162</f>
        <v>168 CAL_M_30       169 CAL_M_31       170 CAL_PH_00      171 CAL_PH_01</v>
      </c>
      <c r="D111" s="88">
        <f t="shared" si="50"/>
        <v>79</v>
      </c>
      <c r="E111" s="88">
        <v>1</v>
      </c>
      <c r="G111" s="88" t="str">
        <f t="shared" ca="1" si="54"/>
        <v>104</v>
      </c>
      <c r="H111" s="90" t="str">
        <f t="shared" ca="1" si="55"/>
        <v>SAG_THRES_30</v>
      </c>
      <c r="I111" s="91" t="str">
        <f t="shared" ca="1" si="56"/>
        <v>0</v>
      </c>
      <c r="J111" s="92" t="s">
        <v>12</v>
      </c>
      <c r="K111" s="92">
        <f t="shared" ca="1" si="57"/>
        <v>0</v>
      </c>
      <c r="L111" s="80"/>
      <c r="N111" s="88">
        <f t="shared" si="51"/>
        <v>222</v>
      </c>
      <c r="O111" s="88">
        <v>1</v>
      </c>
      <c r="Q111" s="88" t="str">
        <f t="shared" ca="1" si="48"/>
        <v>104</v>
      </c>
      <c r="R111" s="90" t="str">
        <f t="shared" ca="1" si="45"/>
        <v>ZC_N_CH17</v>
      </c>
      <c r="S111" s="91" t="str">
        <f t="shared" ca="1" si="32"/>
        <v>0</v>
      </c>
      <c r="T111" s="92" t="s">
        <v>19</v>
      </c>
      <c r="U111" s="92">
        <f t="shared" ca="1" si="39"/>
        <v>0</v>
      </c>
      <c r="V111" s="80"/>
      <c r="X111" s="88">
        <f t="shared" si="52"/>
        <v>285</v>
      </c>
      <c r="Y111" s="88">
        <v>1</v>
      </c>
      <c r="AA111" s="88" t="str">
        <f t="shared" ca="1" si="49"/>
        <v>104</v>
      </c>
      <c r="AB111" s="90" t="str">
        <f t="shared" ca="1" si="46"/>
        <v>P_CH8_F</v>
      </c>
      <c r="AC111" s="91" t="str">
        <f t="shared" ca="1" si="33"/>
        <v>0</v>
      </c>
      <c r="AD111" s="92" t="s">
        <v>21</v>
      </c>
      <c r="AE111" s="92">
        <f t="shared" ca="1" si="53"/>
        <v>0</v>
      </c>
      <c r="AF111" s="80"/>
    </row>
    <row r="112" spans="1:32">
      <c r="A112" s="79" t="str">
        <f>'CALIBRATION GUIDE'!B163</f>
        <v>20000000           20000000           0                  0</v>
      </c>
      <c r="D112" s="88">
        <f t="shared" si="50"/>
        <v>79</v>
      </c>
      <c r="E112" s="88">
        <v>2</v>
      </c>
      <c r="G112" s="88" t="str">
        <f t="shared" ca="1" si="54"/>
        <v>105</v>
      </c>
      <c r="H112" s="90" t="str">
        <f t="shared" ca="1" si="55"/>
        <v>SAG_THRES_31</v>
      </c>
      <c r="I112" s="91" t="str">
        <f t="shared" ca="1" si="56"/>
        <v>0</v>
      </c>
      <c r="J112" s="92" t="s">
        <v>12</v>
      </c>
      <c r="K112" s="92">
        <f t="shared" ca="1" si="57"/>
        <v>0</v>
      </c>
      <c r="L112" s="80"/>
      <c r="N112" s="88">
        <f t="shared" si="51"/>
        <v>222</v>
      </c>
      <c r="O112" s="88">
        <v>2</v>
      </c>
      <c r="Q112" s="88" t="str">
        <f t="shared" ca="1" si="48"/>
        <v>105</v>
      </c>
      <c r="R112" s="90" t="str">
        <f t="shared" ca="1" si="45"/>
        <v>ZC_N_CH18</v>
      </c>
      <c r="S112" s="91" t="str">
        <f t="shared" ref="S112:S128" ca="1" si="58">TRIM(MID(INDIRECT(ADDRESS(N112+1,1)),(O112-1)*19+1,19))</f>
        <v>0</v>
      </c>
      <c r="T112" s="92" t="s">
        <v>19</v>
      </c>
      <c r="U112" s="92">
        <f t="shared" ca="1" si="39"/>
        <v>0</v>
      </c>
      <c r="V112" s="80"/>
      <c r="X112" s="88">
        <f t="shared" si="52"/>
        <v>285</v>
      </c>
      <c r="Y112" s="88">
        <v>2</v>
      </c>
      <c r="AA112" s="88" t="str">
        <f t="shared" ca="1" si="49"/>
        <v>105</v>
      </c>
      <c r="AB112" s="90" t="str">
        <f t="shared" ca="1" si="46"/>
        <v>P_CH9_F</v>
      </c>
      <c r="AC112" s="91" t="str">
        <f t="shared" ref="AC112:AC175" ca="1" si="59">TRIM(MID(INDIRECT(ADDRESS(X112+1,1)),(Y112-1)*19+1,19))</f>
        <v>0</v>
      </c>
      <c r="AD112" s="92" t="s">
        <v>21</v>
      </c>
      <c r="AE112" s="92">
        <f t="shared" ca="1" si="53"/>
        <v>0</v>
      </c>
      <c r="AF112" s="80"/>
    </row>
    <row r="113" spans="1:32">
      <c r="A113" s="79" t="str">
        <f>'CALIBRATION GUIDE'!B164</f>
        <v>172 CAL_PH_02      173 CAL_PH_03      174 CAL_PH_04      175 CAL_PH_05</v>
      </c>
      <c r="D113" s="88">
        <f t="shared" si="50"/>
        <v>79</v>
      </c>
      <c r="E113" s="88">
        <v>3</v>
      </c>
      <c r="G113" s="88" t="str">
        <f t="shared" ca="1" si="54"/>
        <v>106</v>
      </c>
      <c r="H113" s="90" t="str">
        <f t="shared" ca="1" si="55"/>
        <v>K_00</v>
      </c>
      <c r="I113" s="91" t="str">
        <f t="shared" ca="1" si="56"/>
        <v>19CC00</v>
      </c>
      <c r="J113" s="92" t="s">
        <v>13</v>
      </c>
      <c r="K113" s="92">
        <f t="shared" ca="1" si="57"/>
        <v>1651</v>
      </c>
      <c r="L113" s="80"/>
      <c r="N113" s="88">
        <f t="shared" si="51"/>
        <v>222</v>
      </c>
      <c r="O113" s="88">
        <v>3</v>
      </c>
      <c r="Q113" s="88" t="str">
        <f t="shared" ca="1" si="48"/>
        <v>106</v>
      </c>
      <c r="R113" s="90" t="str">
        <f t="shared" ca="1" si="45"/>
        <v>ZC_N_CH19</v>
      </c>
      <c r="S113" s="91" t="str">
        <f t="shared" ca="1" si="58"/>
        <v>0</v>
      </c>
      <c r="T113" s="92" t="s">
        <v>19</v>
      </c>
      <c r="U113" s="92">
        <f t="shared" ca="1" si="39"/>
        <v>0</v>
      </c>
      <c r="V113" s="80"/>
      <c r="X113" s="88">
        <f t="shared" si="52"/>
        <v>285</v>
      </c>
      <c r="Y113" s="88">
        <v>3</v>
      </c>
      <c r="AA113" s="88" t="str">
        <f t="shared" ca="1" si="49"/>
        <v>106</v>
      </c>
      <c r="AB113" s="90" t="str">
        <f t="shared" ca="1" si="46"/>
        <v>P_CH10_F</v>
      </c>
      <c r="AC113" s="91" t="str">
        <f t="shared" ca="1" si="59"/>
        <v>0</v>
      </c>
      <c r="AD113" s="92" t="s">
        <v>21</v>
      </c>
      <c r="AE113" s="92">
        <f t="shared" ca="1" si="53"/>
        <v>0</v>
      </c>
      <c r="AF113" s="80"/>
    </row>
    <row r="114" spans="1:32">
      <c r="A114" s="79" t="str">
        <f>'CALIBRATION GUIDE'!B165</f>
        <v>0                  0                  0                  0</v>
      </c>
      <c r="D114" s="88">
        <f t="shared" si="50"/>
        <v>79</v>
      </c>
      <c r="E114" s="88">
        <v>4</v>
      </c>
      <c r="G114" s="88" t="str">
        <f t="shared" ca="1" si="54"/>
        <v>107</v>
      </c>
      <c r="H114" s="90" t="str">
        <f t="shared" ca="1" si="55"/>
        <v>K_01</v>
      </c>
      <c r="I114" s="91" t="str">
        <f t="shared" ca="1" si="56"/>
        <v>19CC00</v>
      </c>
      <c r="J114" s="92" t="s">
        <v>13</v>
      </c>
      <c r="K114" s="92">
        <f t="shared" ca="1" si="57"/>
        <v>1651</v>
      </c>
      <c r="L114" s="80"/>
      <c r="N114" s="88">
        <f t="shared" si="51"/>
        <v>222</v>
      </c>
      <c r="O114" s="88">
        <v>4</v>
      </c>
      <c r="Q114" s="88" t="str">
        <f t="shared" ca="1" si="48"/>
        <v>107</v>
      </c>
      <c r="R114" s="90" t="str">
        <f t="shared" ca="1" si="45"/>
        <v>ZC_N_CH20</v>
      </c>
      <c r="S114" s="91" t="str">
        <f t="shared" ca="1" si="58"/>
        <v>0</v>
      </c>
      <c r="T114" s="92" t="s">
        <v>19</v>
      </c>
      <c r="U114" s="92">
        <f t="shared" ca="1" si="39"/>
        <v>0</v>
      </c>
      <c r="V114" s="80"/>
      <c r="X114" s="88">
        <f t="shared" si="52"/>
        <v>285</v>
      </c>
      <c r="Y114" s="88">
        <v>4</v>
      </c>
      <c r="AA114" s="88" t="str">
        <f t="shared" ca="1" si="49"/>
        <v>107</v>
      </c>
      <c r="AB114" s="90" t="str">
        <f t="shared" ca="1" si="46"/>
        <v>P_CH11_F</v>
      </c>
      <c r="AC114" s="91" t="str">
        <f t="shared" ca="1" si="59"/>
        <v>0</v>
      </c>
      <c r="AD114" s="92" t="s">
        <v>21</v>
      </c>
      <c r="AE114" s="92">
        <f t="shared" ca="1" si="53"/>
        <v>0</v>
      </c>
      <c r="AF114" s="80"/>
    </row>
    <row r="115" spans="1:32">
      <c r="A115" s="79" t="str">
        <f>'CALIBRATION GUIDE'!B166</f>
        <v>176 CAL_PH_06      177 CAL_PH_07      178 CAL_PH_08      179 CAL_PH_09</v>
      </c>
      <c r="D115" s="88">
        <f t="shared" si="50"/>
        <v>81</v>
      </c>
      <c r="E115" s="88">
        <v>1</v>
      </c>
      <c r="G115" s="88" t="str">
        <f t="shared" ca="1" si="54"/>
        <v>108</v>
      </c>
      <c r="H115" s="90" t="str">
        <f t="shared" ca="1" si="55"/>
        <v>K_02</v>
      </c>
      <c r="I115" s="91" t="str">
        <f t="shared" ca="1" si="56"/>
        <v>19CC00</v>
      </c>
      <c r="J115" s="92" t="s">
        <v>13</v>
      </c>
      <c r="K115" s="92">
        <f t="shared" ca="1" si="57"/>
        <v>1651</v>
      </c>
      <c r="L115" s="80"/>
      <c r="N115" s="88">
        <f t="shared" si="51"/>
        <v>224</v>
      </c>
      <c r="O115" s="88">
        <v>1</v>
      </c>
      <c r="Q115" s="88" t="str">
        <f t="shared" ca="1" si="48"/>
        <v>108</v>
      </c>
      <c r="R115" s="90" t="str">
        <f t="shared" ca="1" si="45"/>
        <v>ZC_N_CH21</v>
      </c>
      <c r="S115" s="91" t="str">
        <f t="shared" ca="1" si="58"/>
        <v>0</v>
      </c>
      <c r="T115" s="92" t="s">
        <v>19</v>
      </c>
      <c r="U115" s="92">
        <f t="shared" ca="1" si="39"/>
        <v>0</v>
      </c>
      <c r="V115" s="80"/>
      <c r="X115" s="88">
        <f t="shared" si="52"/>
        <v>287</v>
      </c>
      <c r="Y115" s="88">
        <v>1</v>
      </c>
      <c r="AA115" s="88" t="str">
        <f t="shared" ca="1" si="49"/>
        <v>108</v>
      </c>
      <c r="AB115" s="90" t="str">
        <f t="shared" ca="1" si="46"/>
        <v>P_CH12_F</v>
      </c>
      <c r="AC115" s="91" t="str">
        <f t="shared" ca="1" si="59"/>
        <v>0</v>
      </c>
      <c r="AD115" s="92" t="s">
        <v>21</v>
      </c>
      <c r="AE115" s="92">
        <f t="shared" ca="1" si="53"/>
        <v>0</v>
      </c>
      <c r="AF115" s="80"/>
    </row>
    <row r="116" spans="1:32">
      <c r="A116" s="79" t="str">
        <f>'CALIBRATION GUIDE'!B167</f>
        <v>0                  0                  0                  0</v>
      </c>
      <c r="D116" s="88">
        <f t="shared" si="50"/>
        <v>81</v>
      </c>
      <c r="E116" s="88">
        <v>2</v>
      </c>
      <c r="G116" s="88" t="str">
        <f t="shared" ca="1" si="54"/>
        <v>109</v>
      </c>
      <c r="H116" s="90" t="str">
        <f t="shared" ca="1" si="55"/>
        <v>K_03</v>
      </c>
      <c r="I116" s="91" t="str">
        <f t="shared" ca="1" si="56"/>
        <v>9A523</v>
      </c>
      <c r="J116" s="92" t="s">
        <v>13</v>
      </c>
      <c r="K116" s="92">
        <f t="shared" ca="1" si="57"/>
        <v>617.2841796875</v>
      </c>
      <c r="L116" s="80"/>
      <c r="N116" s="88">
        <f t="shared" si="51"/>
        <v>224</v>
      </c>
      <c r="O116" s="88">
        <v>2</v>
      </c>
      <c r="Q116" s="88" t="str">
        <f t="shared" ca="1" si="48"/>
        <v>109</v>
      </c>
      <c r="R116" s="90" t="str">
        <f t="shared" ca="1" si="45"/>
        <v>ZC_N_CH22</v>
      </c>
      <c r="S116" s="91" t="str">
        <f t="shared" ca="1" si="58"/>
        <v>0</v>
      </c>
      <c r="T116" s="92" t="s">
        <v>19</v>
      </c>
      <c r="U116" s="92">
        <f t="shared" ca="1" si="39"/>
        <v>0</v>
      </c>
      <c r="V116" s="80"/>
      <c r="X116" s="88">
        <f t="shared" si="52"/>
        <v>287</v>
      </c>
      <c r="Y116" s="88">
        <v>2</v>
      </c>
      <c r="AA116" s="88" t="str">
        <f t="shared" ca="1" si="49"/>
        <v>109</v>
      </c>
      <c r="AB116" s="90" t="str">
        <f t="shared" ca="1" si="46"/>
        <v>P_CH13_F</v>
      </c>
      <c r="AC116" s="91" t="str">
        <f t="shared" ca="1" si="59"/>
        <v>0</v>
      </c>
      <c r="AD116" s="92" t="s">
        <v>21</v>
      </c>
      <c r="AE116" s="92">
        <f t="shared" ca="1" si="53"/>
        <v>0</v>
      </c>
      <c r="AF116" s="80"/>
    </row>
    <row r="117" spans="1:32">
      <c r="A117" s="79" t="str">
        <f>'CALIBRATION GUIDE'!B168</f>
        <v>180 CAL_PH_10      181 CAL_PH_11      182 CAL_PH_12      183 CAL_PH_13</v>
      </c>
      <c r="D117" s="88">
        <f t="shared" si="50"/>
        <v>81</v>
      </c>
      <c r="E117" s="88">
        <v>3</v>
      </c>
      <c r="G117" s="88" t="str">
        <f t="shared" ca="1" si="54"/>
        <v>110</v>
      </c>
      <c r="H117" s="90" t="str">
        <f t="shared" ca="1" si="55"/>
        <v>K_04</v>
      </c>
      <c r="I117" s="91" t="str">
        <f t="shared" ca="1" si="56"/>
        <v>9A523</v>
      </c>
      <c r="J117" s="92" t="s">
        <v>13</v>
      </c>
      <c r="K117" s="92">
        <f t="shared" ca="1" si="57"/>
        <v>617.2841796875</v>
      </c>
      <c r="L117" s="80"/>
      <c r="N117" s="88">
        <f t="shared" si="51"/>
        <v>224</v>
      </c>
      <c r="O117" s="88">
        <v>3</v>
      </c>
      <c r="Q117" s="88" t="str">
        <f t="shared" ca="1" si="48"/>
        <v>110</v>
      </c>
      <c r="R117" s="90" t="str">
        <f t="shared" ca="1" si="45"/>
        <v>ZC_N_CH23</v>
      </c>
      <c r="S117" s="91" t="str">
        <f t="shared" ca="1" si="58"/>
        <v>0</v>
      </c>
      <c r="T117" s="92" t="s">
        <v>19</v>
      </c>
      <c r="U117" s="92">
        <f t="shared" ca="1" si="39"/>
        <v>0</v>
      </c>
      <c r="V117" s="80"/>
      <c r="X117" s="88">
        <f t="shared" si="52"/>
        <v>287</v>
      </c>
      <c r="Y117" s="88">
        <v>3</v>
      </c>
      <c r="AA117" s="88" t="str">
        <f t="shared" ca="1" si="49"/>
        <v>110</v>
      </c>
      <c r="AB117" s="90" t="str">
        <f t="shared" ca="1" si="46"/>
        <v>P_CH14_F</v>
      </c>
      <c r="AC117" s="91" t="str">
        <f t="shared" ca="1" si="59"/>
        <v>0</v>
      </c>
      <c r="AD117" s="92" t="s">
        <v>21</v>
      </c>
      <c r="AE117" s="92">
        <f t="shared" ca="1" si="53"/>
        <v>0</v>
      </c>
      <c r="AF117" s="80"/>
    </row>
    <row r="118" spans="1:32">
      <c r="A118" s="79" t="str">
        <f>'CALIBRATION GUIDE'!B169</f>
        <v>0                  0                  0                  0</v>
      </c>
      <c r="D118" s="88">
        <f t="shared" si="50"/>
        <v>81</v>
      </c>
      <c r="E118" s="88">
        <v>4</v>
      </c>
      <c r="G118" s="88" t="str">
        <f t="shared" ca="1" si="54"/>
        <v>111</v>
      </c>
      <c r="H118" s="90" t="str">
        <f t="shared" ca="1" si="55"/>
        <v>K_05</v>
      </c>
      <c r="I118" s="91" t="str">
        <f t="shared" ca="1" si="56"/>
        <v>9A523</v>
      </c>
      <c r="J118" s="92" t="s">
        <v>13</v>
      </c>
      <c r="K118" s="92">
        <f t="shared" ca="1" si="57"/>
        <v>617.2841796875</v>
      </c>
      <c r="L118" s="80"/>
      <c r="N118" s="88">
        <f t="shared" si="51"/>
        <v>224</v>
      </c>
      <c r="O118" s="88">
        <v>4</v>
      </c>
      <c r="Q118" s="88" t="str">
        <f t="shared" ca="1" si="48"/>
        <v>111</v>
      </c>
      <c r="R118" s="90" t="str">
        <f t="shared" ca="1" si="45"/>
        <v>ZC_N_CH24</v>
      </c>
      <c r="S118" s="91" t="str">
        <f t="shared" ca="1" si="58"/>
        <v>0</v>
      </c>
      <c r="T118" s="92" t="s">
        <v>19</v>
      </c>
      <c r="U118" s="92">
        <f t="shared" ca="1" si="39"/>
        <v>0</v>
      </c>
      <c r="V118" s="80"/>
      <c r="X118" s="88">
        <f t="shared" si="52"/>
        <v>287</v>
      </c>
      <c r="Y118" s="88">
        <v>4</v>
      </c>
      <c r="AA118" s="88" t="str">
        <f t="shared" ca="1" si="49"/>
        <v>111</v>
      </c>
      <c r="AB118" s="90" t="str">
        <f t="shared" ca="1" si="46"/>
        <v>P_CH15_F</v>
      </c>
      <c r="AC118" s="91" t="str">
        <f t="shared" ca="1" si="59"/>
        <v>0</v>
      </c>
      <c r="AD118" s="92" t="s">
        <v>21</v>
      </c>
      <c r="AE118" s="92">
        <f t="shared" ca="1" si="53"/>
        <v>0</v>
      </c>
      <c r="AF118" s="80"/>
    </row>
    <row r="119" spans="1:32">
      <c r="A119" s="79" t="str">
        <f>'CALIBRATION GUIDE'!B170</f>
        <v>184 CAL_PH_14      185 CAL_PH_15      186 CAL_PH_16      187 CAL_PH_17</v>
      </c>
      <c r="D119" s="88">
        <f t="shared" si="50"/>
        <v>83</v>
      </c>
      <c r="E119" s="88">
        <v>1</v>
      </c>
      <c r="G119" s="88" t="str">
        <f t="shared" ca="1" si="54"/>
        <v>112</v>
      </c>
      <c r="H119" s="90" t="str">
        <f t="shared" ca="1" si="55"/>
        <v>K_06</v>
      </c>
      <c r="I119" s="91" t="str">
        <f t="shared" ca="1" si="56"/>
        <v>9A523</v>
      </c>
      <c r="J119" s="92" t="s">
        <v>13</v>
      </c>
      <c r="K119" s="92">
        <f t="shared" ca="1" si="57"/>
        <v>617.2841796875</v>
      </c>
      <c r="L119" s="80"/>
      <c r="N119" s="88">
        <f t="shared" si="51"/>
        <v>226</v>
      </c>
      <c r="O119" s="88">
        <v>1</v>
      </c>
      <c r="Q119" s="88" t="str">
        <f t="shared" ca="1" si="48"/>
        <v>112</v>
      </c>
      <c r="R119" s="90" t="str">
        <f t="shared" ca="1" si="45"/>
        <v>ZC_N_CH25</v>
      </c>
      <c r="S119" s="91" t="str">
        <f t="shared" ca="1" si="58"/>
        <v>0</v>
      </c>
      <c r="T119" s="92" t="s">
        <v>19</v>
      </c>
      <c r="U119" s="92">
        <f t="shared" ca="1" si="39"/>
        <v>0</v>
      </c>
      <c r="V119" s="80"/>
      <c r="X119" s="88">
        <f t="shared" si="52"/>
        <v>289</v>
      </c>
      <c r="Y119" s="88">
        <v>1</v>
      </c>
      <c r="AA119" s="88" t="str">
        <f t="shared" ca="1" si="49"/>
        <v>112</v>
      </c>
      <c r="AB119" s="90" t="str">
        <f t="shared" ca="1" si="46"/>
        <v>P_CH16_F</v>
      </c>
      <c r="AC119" s="91" t="str">
        <f t="shared" ca="1" si="59"/>
        <v>0</v>
      </c>
      <c r="AD119" s="92" t="s">
        <v>21</v>
      </c>
      <c r="AE119" s="92">
        <f t="shared" ca="1" si="53"/>
        <v>0</v>
      </c>
      <c r="AF119" s="80"/>
    </row>
    <row r="120" spans="1:32">
      <c r="A120" s="79" t="str">
        <f>'CALIBRATION GUIDE'!B171</f>
        <v>0                  0                  0                  0</v>
      </c>
      <c r="D120" s="88">
        <f t="shared" si="50"/>
        <v>83</v>
      </c>
      <c r="E120" s="88">
        <v>2</v>
      </c>
      <c r="G120" s="88" t="str">
        <f t="shared" ca="1" si="54"/>
        <v>113</v>
      </c>
      <c r="H120" s="90" t="str">
        <f t="shared" ca="1" si="55"/>
        <v>K_07</v>
      </c>
      <c r="I120" s="91" t="str">
        <f t="shared" ca="1" si="56"/>
        <v>19CC00</v>
      </c>
      <c r="J120" s="92" t="s">
        <v>13</v>
      </c>
      <c r="K120" s="92">
        <f t="shared" ca="1" si="57"/>
        <v>1651</v>
      </c>
      <c r="L120" s="80"/>
      <c r="N120" s="88">
        <f t="shared" si="51"/>
        <v>226</v>
      </c>
      <c r="O120" s="88">
        <v>2</v>
      </c>
      <c r="Q120" s="88" t="str">
        <f t="shared" ca="1" si="48"/>
        <v>113</v>
      </c>
      <c r="R120" s="90" t="str">
        <f t="shared" ca="1" si="45"/>
        <v>ZC_N_CH26</v>
      </c>
      <c r="S120" s="91" t="str">
        <f t="shared" ca="1" si="58"/>
        <v>0</v>
      </c>
      <c r="T120" s="92" t="s">
        <v>19</v>
      </c>
      <c r="U120" s="92">
        <f t="shared" ca="1" si="39"/>
        <v>0</v>
      </c>
      <c r="V120" s="80"/>
      <c r="X120" s="88">
        <f t="shared" si="52"/>
        <v>289</v>
      </c>
      <c r="Y120" s="88">
        <v>2</v>
      </c>
      <c r="AA120" s="88" t="str">
        <f t="shared" ca="1" si="49"/>
        <v>113</v>
      </c>
      <c r="AB120" s="90" t="str">
        <f t="shared" ca="1" si="46"/>
        <v>P_CH17_F</v>
      </c>
      <c r="AC120" s="91" t="str">
        <f t="shared" ca="1" si="59"/>
        <v>0</v>
      </c>
      <c r="AD120" s="92" t="s">
        <v>21</v>
      </c>
      <c r="AE120" s="92">
        <f t="shared" ca="1" si="53"/>
        <v>0</v>
      </c>
      <c r="AF120" s="80"/>
    </row>
    <row r="121" spans="1:32">
      <c r="A121" s="79" t="str">
        <f>'CALIBRATION GUIDE'!B172</f>
        <v>188 CAL_PH_18      189 CAL_PH_19      190 CAL_PH_20      191 CAL_PH_21</v>
      </c>
      <c r="D121" s="88">
        <f t="shared" si="50"/>
        <v>83</v>
      </c>
      <c r="E121" s="88">
        <v>3</v>
      </c>
      <c r="G121" s="88" t="str">
        <f t="shared" ca="1" si="54"/>
        <v>114</v>
      </c>
      <c r="H121" s="90" t="str">
        <f t="shared" ca="1" si="55"/>
        <v>K_08</v>
      </c>
      <c r="I121" s="91" t="str">
        <f t="shared" ca="1" si="56"/>
        <v>9A523</v>
      </c>
      <c r="J121" s="92" t="s">
        <v>13</v>
      </c>
      <c r="K121" s="92">
        <f t="shared" ca="1" si="57"/>
        <v>617.2841796875</v>
      </c>
      <c r="L121" s="80"/>
      <c r="N121" s="88">
        <f t="shared" si="51"/>
        <v>226</v>
      </c>
      <c r="O121" s="88">
        <v>3</v>
      </c>
      <c r="Q121" s="88" t="str">
        <f t="shared" ca="1" si="48"/>
        <v>114</v>
      </c>
      <c r="R121" s="90" t="str">
        <f t="shared" ca="1" si="45"/>
        <v>ZC_N_CH27</v>
      </c>
      <c r="S121" s="91" t="str">
        <f t="shared" ca="1" si="58"/>
        <v>0</v>
      </c>
      <c r="T121" s="92" t="s">
        <v>19</v>
      </c>
      <c r="U121" s="92">
        <f t="shared" ca="1" si="39"/>
        <v>0</v>
      </c>
      <c r="V121" s="80"/>
      <c r="X121" s="88">
        <f t="shared" si="52"/>
        <v>289</v>
      </c>
      <c r="Y121" s="88">
        <v>3</v>
      </c>
      <c r="AA121" s="88" t="str">
        <f t="shared" ca="1" si="49"/>
        <v>114</v>
      </c>
      <c r="AB121" s="90" t="str">
        <f t="shared" ca="1" si="46"/>
        <v>P_CH18_F</v>
      </c>
      <c r="AC121" s="91" t="str">
        <f t="shared" ca="1" si="59"/>
        <v>0</v>
      </c>
      <c r="AD121" s="92" t="s">
        <v>21</v>
      </c>
      <c r="AE121" s="92">
        <f t="shared" ca="1" si="53"/>
        <v>0</v>
      </c>
      <c r="AF121" s="80"/>
    </row>
    <row r="122" spans="1:32">
      <c r="A122" s="79" t="str">
        <f>'CALIBRATION GUIDE'!B173</f>
        <v>0                  0                  0                  0</v>
      </c>
      <c r="D122" s="88">
        <f t="shared" si="50"/>
        <v>83</v>
      </c>
      <c r="E122" s="88">
        <v>4</v>
      </c>
      <c r="G122" s="88" t="str">
        <f t="shared" ca="1" si="54"/>
        <v>115</v>
      </c>
      <c r="H122" s="90" t="str">
        <f t="shared" ca="1" si="55"/>
        <v>K_09</v>
      </c>
      <c r="I122" s="91" t="str">
        <f t="shared" ca="1" si="56"/>
        <v>19CC00</v>
      </c>
      <c r="J122" s="92" t="s">
        <v>13</v>
      </c>
      <c r="K122" s="92">
        <f t="shared" ca="1" si="57"/>
        <v>1651</v>
      </c>
      <c r="L122" s="80"/>
      <c r="N122" s="88">
        <f t="shared" si="51"/>
        <v>226</v>
      </c>
      <c r="O122" s="88">
        <v>4</v>
      </c>
      <c r="Q122" s="88" t="str">
        <f t="shared" ca="1" si="48"/>
        <v>115</v>
      </c>
      <c r="R122" s="90" t="str">
        <f t="shared" ca="1" si="45"/>
        <v>ZC_N_CH28</v>
      </c>
      <c r="S122" s="91" t="str">
        <f t="shared" ca="1" si="58"/>
        <v>0</v>
      </c>
      <c r="T122" s="92" t="s">
        <v>19</v>
      </c>
      <c r="U122" s="92">
        <f t="shared" ca="1" si="39"/>
        <v>0</v>
      </c>
      <c r="V122" s="80"/>
      <c r="X122" s="88">
        <f t="shared" si="52"/>
        <v>289</v>
      </c>
      <c r="Y122" s="88">
        <v>4</v>
      </c>
      <c r="AA122" s="88" t="str">
        <f t="shared" ca="1" si="49"/>
        <v>115</v>
      </c>
      <c r="AB122" s="90" t="str">
        <f t="shared" ca="1" si="46"/>
        <v>P_CH19_F</v>
      </c>
      <c r="AC122" s="91" t="str">
        <f t="shared" ca="1" si="59"/>
        <v>0</v>
      </c>
      <c r="AD122" s="92" t="s">
        <v>21</v>
      </c>
      <c r="AE122" s="92">
        <f t="shared" ca="1" si="53"/>
        <v>0</v>
      </c>
      <c r="AF122" s="80"/>
    </row>
    <row r="123" spans="1:32">
      <c r="A123" s="79" t="str">
        <f>'CALIBRATION GUIDE'!B174</f>
        <v>192 CAL_PH_22      193 CAL_PH_23      194 CAL_PH_24      195 CAL_PH_25</v>
      </c>
      <c r="D123" s="88">
        <f t="shared" si="50"/>
        <v>85</v>
      </c>
      <c r="E123" s="88">
        <v>1</v>
      </c>
      <c r="G123" s="88" t="str">
        <f t="shared" ca="1" si="54"/>
        <v>116</v>
      </c>
      <c r="H123" s="90" t="str">
        <f t="shared" ca="1" si="55"/>
        <v>K_10</v>
      </c>
      <c r="I123" s="91" t="str">
        <f t="shared" ca="1" si="56"/>
        <v>9A523</v>
      </c>
      <c r="J123" s="92" t="s">
        <v>13</v>
      </c>
      <c r="K123" s="92">
        <f t="shared" ca="1" si="57"/>
        <v>617.2841796875</v>
      </c>
      <c r="L123" s="80"/>
      <c r="N123" s="88">
        <f t="shared" si="51"/>
        <v>228</v>
      </c>
      <c r="O123" s="88">
        <v>1</v>
      </c>
      <c r="Q123" s="88" t="str">
        <f t="shared" ca="1" si="48"/>
        <v>116</v>
      </c>
      <c r="R123" s="90" t="str">
        <f t="shared" ca="1" si="45"/>
        <v>ZC_N_CH29</v>
      </c>
      <c r="S123" s="91" t="str">
        <f t="shared" ca="1" si="58"/>
        <v>0</v>
      </c>
      <c r="T123" s="92" t="s">
        <v>19</v>
      </c>
      <c r="U123" s="92">
        <f t="shared" ca="1" si="39"/>
        <v>0</v>
      </c>
      <c r="V123" s="80"/>
      <c r="X123" s="88">
        <f t="shared" si="52"/>
        <v>291</v>
      </c>
      <c r="Y123" s="88">
        <v>1</v>
      </c>
      <c r="AA123" s="88" t="str">
        <f t="shared" ca="1" si="49"/>
        <v>116</v>
      </c>
      <c r="AB123" s="90" t="str">
        <f t="shared" ca="1" si="46"/>
        <v>P_CH20_F</v>
      </c>
      <c r="AC123" s="91" t="str">
        <f t="shared" ca="1" si="59"/>
        <v>0</v>
      </c>
      <c r="AD123" s="92" t="s">
        <v>21</v>
      </c>
      <c r="AE123" s="92">
        <f t="shared" ca="1" si="53"/>
        <v>0</v>
      </c>
      <c r="AF123" s="80"/>
    </row>
    <row r="124" spans="1:32">
      <c r="A124" s="79" t="str">
        <f>'CALIBRATION GUIDE'!B175</f>
        <v>0                  0                  0                  0</v>
      </c>
      <c r="D124" s="88">
        <f t="shared" si="50"/>
        <v>85</v>
      </c>
      <c r="E124" s="88">
        <v>2</v>
      </c>
      <c r="G124" s="88" t="str">
        <f t="shared" ca="1" si="54"/>
        <v>117</v>
      </c>
      <c r="H124" s="90" t="str">
        <f t="shared" ca="1" si="55"/>
        <v>K_11</v>
      </c>
      <c r="I124" s="91" t="str">
        <f t="shared" ca="1" si="56"/>
        <v>19CC00</v>
      </c>
      <c r="J124" s="92" t="s">
        <v>13</v>
      </c>
      <c r="K124" s="92">
        <f t="shared" ca="1" si="57"/>
        <v>1651</v>
      </c>
      <c r="L124" s="80"/>
      <c r="N124" s="88">
        <f t="shared" si="51"/>
        <v>228</v>
      </c>
      <c r="O124" s="88">
        <v>2</v>
      </c>
      <c r="Q124" s="88" t="str">
        <f t="shared" ca="1" si="48"/>
        <v>117</v>
      </c>
      <c r="R124" s="90" t="str">
        <f t="shared" ca="1" si="45"/>
        <v>ZC_N_CH30</v>
      </c>
      <c r="S124" s="91" t="str">
        <f t="shared" ca="1" si="58"/>
        <v>0</v>
      </c>
      <c r="T124" s="92" t="s">
        <v>19</v>
      </c>
      <c r="U124" s="92">
        <f t="shared" ca="1" si="39"/>
        <v>0</v>
      </c>
      <c r="V124" s="80"/>
      <c r="X124" s="88">
        <f t="shared" si="52"/>
        <v>291</v>
      </c>
      <c r="Y124" s="88">
        <v>2</v>
      </c>
      <c r="AA124" s="88" t="str">
        <f t="shared" ca="1" si="49"/>
        <v>117</v>
      </c>
      <c r="AB124" s="90" t="str">
        <f t="shared" ca="1" si="46"/>
        <v>P_CH21_F</v>
      </c>
      <c r="AC124" s="91" t="str">
        <f t="shared" ca="1" si="59"/>
        <v>0</v>
      </c>
      <c r="AD124" s="92" t="s">
        <v>21</v>
      </c>
      <c r="AE124" s="92">
        <f t="shared" ca="1" si="53"/>
        <v>0</v>
      </c>
      <c r="AF124" s="80"/>
    </row>
    <row r="125" spans="1:32">
      <c r="A125" s="79" t="str">
        <f>'CALIBRATION GUIDE'!B176</f>
        <v>196 CAL_PH_26      197 CAL_PH_27      198 CAL_PH_28      199 CAL_PH_29</v>
      </c>
      <c r="D125" s="88">
        <f t="shared" si="50"/>
        <v>85</v>
      </c>
      <c r="E125" s="88">
        <v>3</v>
      </c>
      <c r="G125" s="88" t="str">
        <f t="shared" ca="1" si="54"/>
        <v>118</v>
      </c>
      <c r="H125" s="90" t="str">
        <f t="shared" ca="1" si="55"/>
        <v>K_12</v>
      </c>
      <c r="I125" s="91" t="str">
        <f t="shared" ca="1" si="56"/>
        <v>9A523</v>
      </c>
      <c r="J125" s="92" t="s">
        <v>13</v>
      </c>
      <c r="K125" s="92">
        <f t="shared" ca="1" si="57"/>
        <v>617.2841796875</v>
      </c>
      <c r="L125" s="80"/>
      <c r="N125" s="88">
        <f t="shared" si="51"/>
        <v>228</v>
      </c>
      <c r="O125" s="88">
        <v>3</v>
      </c>
      <c r="Q125" s="88" t="str">
        <f t="shared" ca="1" si="48"/>
        <v>118</v>
      </c>
      <c r="R125" s="90" t="str">
        <f t="shared" ca="1" si="45"/>
        <v>ZC_N_CH31</v>
      </c>
      <c r="S125" s="91" t="str">
        <f t="shared" ca="1" si="58"/>
        <v>0</v>
      </c>
      <c r="T125" s="92" t="s">
        <v>19</v>
      </c>
      <c r="U125" s="92">
        <f t="shared" ca="1" si="39"/>
        <v>0</v>
      </c>
      <c r="V125" s="80"/>
      <c r="X125" s="88">
        <f t="shared" si="52"/>
        <v>291</v>
      </c>
      <c r="Y125" s="88">
        <v>3</v>
      </c>
      <c r="AA125" s="88" t="str">
        <f t="shared" ca="1" si="49"/>
        <v>118</v>
      </c>
      <c r="AB125" s="90" t="str">
        <f t="shared" ca="1" si="46"/>
        <v>P_CH22_F</v>
      </c>
      <c r="AC125" s="91" t="str">
        <f t="shared" ca="1" si="59"/>
        <v>0</v>
      </c>
      <c r="AD125" s="92" t="s">
        <v>21</v>
      </c>
      <c r="AE125" s="92">
        <f t="shared" ca="1" si="53"/>
        <v>0</v>
      </c>
      <c r="AF125" s="80"/>
    </row>
    <row r="126" spans="1:32">
      <c r="A126" s="79" t="str">
        <f>'CALIBRATION GUIDE'!B177</f>
        <v>0                  0                  0                  0</v>
      </c>
      <c r="D126" s="88">
        <f t="shared" si="50"/>
        <v>85</v>
      </c>
      <c r="E126" s="88">
        <v>4</v>
      </c>
      <c r="G126" s="88" t="str">
        <f t="shared" ca="1" si="54"/>
        <v>119</v>
      </c>
      <c r="H126" s="90" t="str">
        <f t="shared" ca="1" si="55"/>
        <v>K_13</v>
      </c>
      <c r="I126" s="91" t="str">
        <f t="shared" ca="1" si="56"/>
        <v>9A523</v>
      </c>
      <c r="J126" s="92" t="s">
        <v>13</v>
      </c>
      <c r="K126" s="92">
        <f t="shared" ca="1" si="57"/>
        <v>617.2841796875</v>
      </c>
      <c r="L126" s="80"/>
      <c r="N126" s="88">
        <f t="shared" si="51"/>
        <v>228</v>
      </c>
      <c r="O126" s="88">
        <v>4</v>
      </c>
      <c r="Q126" s="88" t="str">
        <f t="shared" ca="1" si="48"/>
        <v>119</v>
      </c>
      <c r="R126" s="90" t="str">
        <f t="shared" ca="1" si="45"/>
        <v>RESERVED_S119</v>
      </c>
      <c r="S126" s="91" t="str">
        <f t="shared" ca="1" si="58"/>
        <v>0</v>
      </c>
      <c r="T126" s="92" t="s">
        <v>7</v>
      </c>
      <c r="U126" s="92">
        <f t="shared" ca="1" si="39"/>
        <v>0</v>
      </c>
      <c r="V126" s="80"/>
      <c r="X126" s="88">
        <f t="shared" si="52"/>
        <v>291</v>
      </c>
      <c r="Y126" s="88">
        <v>4</v>
      </c>
      <c r="AA126" s="88" t="str">
        <f t="shared" ca="1" si="49"/>
        <v>119</v>
      </c>
      <c r="AB126" s="90" t="str">
        <f t="shared" ca="1" si="46"/>
        <v>P_CH23_F</v>
      </c>
      <c r="AC126" s="91" t="str">
        <f t="shared" ca="1" si="59"/>
        <v>0</v>
      </c>
      <c r="AD126" s="92" t="s">
        <v>21</v>
      </c>
      <c r="AE126" s="92">
        <f t="shared" ca="1" si="53"/>
        <v>0</v>
      </c>
      <c r="AF126" s="80"/>
    </row>
    <row r="127" spans="1:32">
      <c r="A127" s="79" t="str">
        <f>'CALIBRATION GUIDE'!B178</f>
        <v>200 CAL_PH_30      201 CAL_PH_31      202 CAPTURE_CTRL   203 CAPTURE_CH_SEL</v>
      </c>
      <c r="D127" s="88">
        <f t="shared" si="50"/>
        <v>87</v>
      </c>
      <c r="E127" s="88">
        <v>1</v>
      </c>
      <c r="G127" s="88" t="str">
        <f t="shared" ca="1" si="54"/>
        <v>120</v>
      </c>
      <c r="H127" s="90" t="str">
        <f t="shared" ca="1" si="55"/>
        <v>K_14</v>
      </c>
      <c r="I127" s="91" t="str">
        <f t="shared" ca="1" si="56"/>
        <v>9A523</v>
      </c>
      <c r="J127" s="92" t="s">
        <v>13</v>
      </c>
      <c r="K127" s="92">
        <f t="shared" ca="1" si="57"/>
        <v>617.2841796875</v>
      </c>
      <c r="L127" s="80"/>
      <c r="N127" s="88">
        <f t="shared" si="51"/>
        <v>230</v>
      </c>
      <c r="O127" s="88">
        <v>1</v>
      </c>
      <c r="Q127" s="88" t="str">
        <f t="shared" ca="1" si="48"/>
        <v>120</v>
      </c>
      <c r="R127" s="90" t="str">
        <f t="shared" ca="1" si="45"/>
        <v>RESERVED_S120</v>
      </c>
      <c r="S127" s="91" t="str">
        <f t="shared" ca="1" si="58"/>
        <v>0</v>
      </c>
      <c r="T127" s="92" t="s">
        <v>7</v>
      </c>
      <c r="U127" s="92">
        <f t="shared" ca="1" si="39"/>
        <v>0</v>
      </c>
      <c r="V127" s="80"/>
      <c r="X127" s="88">
        <f t="shared" si="52"/>
        <v>293</v>
      </c>
      <c r="Y127" s="88">
        <v>1</v>
      </c>
      <c r="AA127" s="88" t="str">
        <f t="shared" ca="1" si="49"/>
        <v>120</v>
      </c>
      <c r="AB127" s="90" t="str">
        <f t="shared" ca="1" si="46"/>
        <v>P_CH24_F</v>
      </c>
      <c r="AC127" s="91" t="str">
        <f t="shared" ca="1" si="59"/>
        <v>0</v>
      </c>
      <c r="AD127" s="92" t="s">
        <v>21</v>
      </c>
      <c r="AE127" s="92">
        <f t="shared" ca="1" si="53"/>
        <v>0</v>
      </c>
      <c r="AF127" s="80"/>
    </row>
    <row r="128" spans="1:32">
      <c r="A128" s="79" t="str">
        <f>'CALIBRATION GUIDE'!B179</f>
        <v>0                  0                  0                  FF</v>
      </c>
      <c r="D128" s="88">
        <f t="shared" si="50"/>
        <v>87</v>
      </c>
      <c r="E128" s="88">
        <v>2</v>
      </c>
      <c r="G128" s="88" t="str">
        <f t="shared" ca="1" si="54"/>
        <v>121</v>
      </c>
      <c r="H128" s="90" t="str">
        <f t="shared" ca="1" si="55"/>
        <v>K_15</v>
      </c>
      <c r="I128" s="91" t="str">
        <f t="shared" ca="1" si="56"/>
        <v>9A523</v>
      </c>
      <c r="J128" s="92" t="s">
        <v>13</v>
      </c>
      <c r="K128" s="92">
        <f t="shared" ca="1" si="57"/>
        <v>617.2841796875</v>
      </c>
      <c r="L128" s="80"/>
      <c r="N128" s="88">
        <f t="shared" si="51"/>
        <v>230</v>
      </c>
      <c r="O128" s="88">
        <v>2</v>
      </c>
      <c r="Q128" s="88" t="str">
        <f t="shared" ca="1" si="48"/>
        <v>121</v>
      </c>
      <c r="R128" s="90" t="str">
        <f t="shared" ca="1" si="45"/>
        <v>RESERVED_S121</v>
      </c>
      <c r="S128" s="91" t="str">
        <f t="shared" ca="1" si="58"/>
        <v>0</v>
      </c>
      <c r="T128" s="92" t="s">
        <v>7</v>
      </c>
      <c r="U128" s="92">
        <f t="shared" ca="1" si="39"/>
        <v>0</v>
      </c>
      <c r="V128" s="80"/>
      <c r="X128" s="88">
        <f t="shared" si="52"/>
        <v>293</v>
      </c>
      <c r="Y128" s="88">
        <v>2</v>
      </c>
      <c r="AA128" s="88" t="str">
        <f t="shared" ca="1" si="49"/>
        <v>121</v>
      </c>
      <c r="AB128" s="90" t="str">
        <f t="shared" ca="1" si="46"/>
        <v>P_CH25_F</v>
      </c>
      <c r="AC128" s="91" t="str">
        <f t="shared" ca="1" si="59"/>
        <v>0</v>
      </c>
      <c r="AD128" s="92" t="s">
        <v>21</v>
      </c>
      <c r="AE128" s="92">
        <f t="shared" ca="1" si="53"/>
        <v>0</v>
      </c>
      <c r="AF128" s="80"/>
    </row>
    <row r="129" spans="1:32">
      <c r="A129" s="79" t="str">
        <f>'CALIBRATION GUIDE'!B180</f>
        <v>204 CAPT_BUFF_SIZE 205 CAPTURE_ADDR   206 RESERVED_C202  207 RESERVED_C203</v>
      </c>
      <c r="B129" s="2"/>
      <c r="D129" s="88">
        <f t="shared" si="50"/>
        <v>87</v>
      </c>
      <c r="E129" s="88">
        <v>3</v>
      </c>
      <c r="G129" s="88" t="str">
        <f t="shared" ca="1" si="54"/>
        <v>122</v>
      </c>
      <c r="H129" s="90" t="str">
        <f t="shared" ca="1" si="55"/>
        <v>K_16</v>
      </c>
      <c r="I129" s="91" t="str">
        <f t="shared" ca="1" si="56"/>
        <v>9A523</v>
      </c>
      <c r="J129" s="92" t="s">
        <v>13</v>
      </c>
      <c r="K129" s="92">
        <f t="shared" ca="1" si="57"/>
        <v>617.2841796875</v>
      </c>
      <c r="L129" s="80"/>
      <c r="Q129" s="88"/>
      <c r="R129" s="90"/>
      <c r="S129" s="91"/>
      <c r="T129" s="92"/>
      <c r="U129" s="92"/>
      <c r="V129" s="80"/>
      <c r="X129" s="88">
        <f t="shared" si="52"/>
        <v>293</v>
      </c>
      <c r="Y129" s="88">
        <v>3</v>
      </c>
      <c r="AA129" s="88" t="str">
        <f t="shared" ca="1" si="49"/>
        <v>122</v>
      </c>
      <c r="AB129" s="90" t="str">
        <f t="shared" ca="1" si="46"/>
        <v>P_CH26_F</v>
      </c>
      <c r="AC129" s="91" t="str">
        <f t="shared" ca="1" si="59"/>
        <v>0</v>
      </c>
      <c r="AD129" s="92" t="s">
        <v>21</v>
      </c>
      <c r="AE129" s="92">
        <f t="shared" ca="1" si="53"/>
        <v>0</v>
      </c>
      <c r="AF129" s="80"/>
    </row>
    <row r="130" spans="1:32">
      <c r="A130" s="79" t="str">
        <f>'CALIBRATION GUIDE'!B181</f>
        <v>A00                20001BB0           0                  0</v>
      </c>
      <c r="B130" s="2"/>
      <c r="D130" s="88">
        <f t="shared" si="50"/>
        <v>87</v>
      </c>
      <c r="E130" s="88">
        <v>4</v>
      </c>
      <c r="G130" s="88" t="str">
        <f t="shared" ca="1" si="54"/>
        <v>123</v>
      </c>
      <c r="H130" s="90" t="str">
        <f t="shared" ca="1" si="55"/>
        <v>K_17</v>
      </c>
      <c r="I130" s="91" t="str">
        <f t="shared" ca="1" si="56"/>
        <v>9A523</v>
      </c>
      <c r="J130" s="92" t="s">
        <v>13</v>
      </c>
      <c r="K130" s="92">
        <f t="shared" ca="1" si="57"/>
        <v>617.2841796875</v>
      </c>
      <c r="L130" s="80"/>
      <c r="Q130" s="88"/>
      <c r="R130" s="90"/>
      <c r="S130" s="91"/>
      <c r="T130" s="92"/>
      <c r="U130" s="92"/>
      <c r="V130" s="80"/>
      <c r="X130" s="88">
        <f t="shared" si="52"/>
        <v>293</v>
      </c>
      <c r="Y130" s="88">
        <v>4</v>
      </c>
      <c r="AA130" s="88" t="str">
        <f t="shared" ca="1" si="49"/>
        <v>123</v>
      </c>
      <c r="AB130" s="90" t="str">
        <f t="shared" ca="1" si="46"/>
        <v>P_CH27_F</v>
      </c>
      <c r="AC130" s="91" t="str">
        <f t="shared" ca="1" si="59"/>
        <v>0</v>
      </c>
      <c r="AD130" s="92" t="s">
        <v>21</v>
      </c>
      <c r="AE130" s="92">
        <f t="shared" ca="1" si="53"/>
        <v>0</v>
      </c>
      <c r="AF130" s="80"/>
    </row>
    <row r="131" spans="1:32">
      <c r="A131" s="79" t="str">
        <f>'CALIBRATION GUIDE'!B182</f>
        <v>208 RESERVED_C204  209 MCP_GAIN_0     210 MCP_GAIN_1     211 MCP_GAIN_2</v>
      </c>
      <c r="B131" s="2"/>
      <c r="D131" s="88">
        <f t="shared" si="50"/>
        <v>89</v>
      </c>
      <c r="E131" s="88">
        <v>1</v>
      </c>
      <c r="G131" s="88" t="str">
        <f t="shared" ca="1" si="54"/>
        <v>124</v>
      </c>
      <c r="H131" s="90" t="str">
        <f t="shared" ca="1" si="55"/>
        <v>K_18</v>
      </c>
      <c r="I131" s="91" t="str">
        <f t="shared" ca="1" si="56"/>
        <v>9A523</v>
      </c>
      <c r="J131" s="92" t="s">
        <v>13</v>
      </c>
      <c r="K131" s="92">
        <f t="shared" ca="1" si="57"/>
        <v>617.2841796875</v>
      </c>
      <c r="L131" s="80"/>
      <c r="Q131" s="88"/>
      <c r="R131" s="90"/>
      <c r="S131" s="91"/>
      <c r="T131" s="92"/>
      <c r="U131" s="92"/>
      <c r="V131" s="80"/>
      <c r="X131" s="88">
        <f t="shared" si="52"/>
        <v>295</v>
      </c>
      <c r="Y131" s="88">
        <v>1</v>
      </c>
      <c r="AA131" s="88" t="str">
        <f t="shared" ca="1" si="49"/>
        <v>124</v>
      </c>
      <c r="AB131" s="90" t="str">
        <f t="shared" ca="1" si="46"/>
        <v>P_CH28_F</v>
      </c>
      <c r="AC131" s="91" t="str">
        <f t="shared" ca="1" si="59"/>
        <v>0</v>
      </c>
      <c r="AD131" s="92" t="s">
        <v>21</v>
      </c>
      <c r="AE131" s="92">
        <f t="shared" ca="1" si="53"/>
        <v>0</v>
      </c>
      <c r="AF131" s="80"/>
    </row>
    <row r="132" spans="1:32">
      <c r="A132" s="79" t="str">
        <f>'CALIBRATION GUIDE'!B183</f>
        <v>0                  0                  0                  0</v>
      </c>
      <c r="D132" s="88">
        <f t="shared" si="50"/>
        <v>89</v>
      </c>
      <c r="E132" s="88">
        <v>2</v>
      </c>
      <c r="G132" s="88" t="str">
        <f t="shared" ca="1" si="54"/>
        <v>125</v>
      </c>
      <c r="H132" s="90" t="str">
        <f t="shared" ca="1" si="55"/>
        <v>K_19</v>
      </c>
      <c r="I132" s="91" t="str">
        <f t="shared" ca="1" si="56"/>
        <v>9A523</v>
      </c>
      <c r="J132" s="92" t="s">
        <v>13</v>
      </c>
      <c r="K132" s="92">
        <f t="shared" ca="1" si="57"/>
        <v>617.2841796875</v>
      </c>
      <c r="L132" s="80"/>
      <c r="Q132" s="88"/>
      <c r="R132" s="90"/>
      <c r="S132" s="91"/>
      <c r="T132" s="92"/>
      <c r="U132" s="92"/>
      <c r="V132" s="80"/>
      <c r="X132" s="88">
        <f t="shared" si="52"/>
        <v>295</v>
      </c>
      <c r="Y132" s="88">
        <v>2</v>
      </c>
      <c r="AA132" s="88" t="str">
        <f t="shared" ca="1" si="49"/>
        <v>125</v>
      </c>
      <c r="AB132" s="90" t="str">
        <f t="shared" ca="1" si="46"/>
        <v>P_CH29_F</v>
      </c>
      <c r="AC132" s="91" t="str">
        <f t="shared" ca="1" si="59"/>
        <v>0</v>
      </c>
      <c r="AD132" s="92" t="s">
        <v>21</v>
      </c>
      <c r="AE132" s="92">
        <f t="shared" ca="1" si="53"/>
        <v>0</v>
      </c>
      <c r="AF132" s="80"/>
    </row>
    <row r="133" spans="1:32">
      <c r="A133" s="79" t="str">
        <f>'CALIBRATION GUIDE'!B184</f>
        <v>212 MCP_GAIN_3     213 MCP_CONFIG0_0  214 MCP_CONFIG0_1  215 MCP_CONFIG0_2</v>
      </c>
      <c r="D133" s="88">
        <f t="shared" si="50"/>
        <v>89</v>
      </c>
      <c r="E133" s="88">
        <v>3</v>
      </c>
      <c r="G133" s="88" t="str">
        <f t="shared" ca="1" si="54"/>
        <v>126</v>
      </c>
      <c r="H133" s="90" t="str">
        <f t="shared" ca="1" si="55"/>
        <v>K_20</v>
      </c>
      <c r="I133" s="91" t="str">
        <f t="shared" ca="1" si="56"/>
        <v>9A523</v>
      </c>
      <c r="J133" s="92" t="s">
        <v>13</v>
      </c>
      <c r="K133" s="92">
        <f t="shared" ca="1" si="57"/>
        <v>617.2841796875</v>
      </c>
      <c r="L133" s="80"/>
      <c r="Q133" s="88"/>
      <c r="R133" s="90"/>
      <c r="S133" s="91"/>
      <c r="T133" s="92"/>
      <c r="U133" s="92"/>
      <c r="V133" s="80"/>
      <c r="X133" s="88">
        <f t="shared" si="52"/>
        <v>295</v>
      </c>
      <c r="Y133" s="88">
        <v>3</v>
      </c>
      <c r="AA133" s="88" t="str">
        <f t="shared" ca="1" si="49"/>
        <v>126</v>
      </c>
      <c r="AB133" s="90" t="str">
        <f t="shared" ca="1" si="46"/>
        <v>P_CH30_F</v>
      </c>
      <c r="AC133" s="91" t="str">
        <f t="shared" ca="1" si="59"/>
        <v>0</v>
      </c>
      <c r="AD133" s="92" t="s">
        <v>21</v>
      </c>
      <c r="AE133" s="92">
        <f t="shared" ca="1" si="53"/>
        <v>0</v>
      </c>
      <c r="AF133" s="80"/>
    </row>
    <row r="134" spans="1:32">
      <c r="A134" s="79" t="str">
        <f>'CALIBRATION GUIDE'!B185</f>
        <v>0                  384050             384050             384050</v>
      </c>
      <c r="D134" s="88">
        <f t="shared" si="50"/>
        <v>89</v>
      </c>
      <c r="E134" s="88">
        <v>4</v>
      </c>
      <c r="G134" s="88" t="str">
        <f t="shared" ca="1" si="54"/>
        <v>127</v>
      </c>
      <c r="H134" s="90" t="str">
        <f t="shared" ca="1" si="55"/>
        <v>K_21</v>
      </c>
      <c r="I134" s="91" t="str">
        <f t="shared" ca="1" si="56"/>
        <v>9A523</v>
      </c>
      <c r="J134" s="92" t="s">
        <v>13</v>
      </c>
      <c r="K134" s="92">
        <f t="shared" ca="1" si="57"/>
        <v>617.2841796875</v>
      </c>
      <c r="L134" s="80"/>
      <c r="Q134" s="88"/>
      <c r="R134" s="90"/>
      <c r="S134" s="91"/>
      <c r="T134" s="92"/>
      <c r="U134" s="92"/>
      <c r="V134" s="80"/>
      <c r="X134" s="88">
        <f t="shared" si="52"/>
        <v>295</v>
      </c>
      <c r="Y134" s="88">
        <v>4</v>
      </c>
      <c r="AA134" s="88" t="str">
        <f t="shared" ca="1" si="49"/>
        <v>127</v>
      </c>
      <c r="AB134" s="90" t="str">
        <f t="shared" ca="1" si="46"/>
        <v>RESERVED_A127</v>
      </c>
      <c r="AC134" s="91" t="str">
        <f t="shared" ca="1" si="59"/>
        <v>0</v>
      </c>
      <c r="AD134" s="92" t="s">
        <v>13</v>
      </c>
      <c r="AE134" s="92">
        <f t="shared" ca="1" si="53"/>
        <v>0</v>
      </c>
      <c r="AF134" s="80"/>
    </row>
    <row r="135" spans="1:32">
      <c r="A135" s="79" t="str">
        <f>'CALIBRATION GUIDE'!B186</f>
        <v>216 MCP_CONFIG0_3  217 RESERVED_C217  218 PW_OFFSET_P_00 219 PW_OFFSET_P_01</v>
      </c>
      <c r="D135" s="88">
        <f t="shared" si="50"/>
        <v>91</v>
      </c>
      <c r="E135" s="88">
        <v>1</v>
      </c>
      <c r="G135" s="88" t="str">
        <f t="shared" ca="1" si="54"/>
        <v>128</v>
      </c>
      <c r="H135" s="90" t="str">
        <f t="shared" ca="1" si="55"/>
        <v>K_22</v>
      </c>
      <c r="I135" s="91" t="str">
        <f t="shared" ca="1" si="56"/>
        <v>9A523</v>
      </c>
      <c r="J135" s="92" t="s">
        <v>13</v>
      </c>
      <c r="K135" s="92">
        <f t="shared" ca="1" si="57"/>
        <v>617.2841796875</v>
      </c>
      <c r="L135" s="80"/>
      <c r="Q135" s="88"/>
      <c r="R135" s="90"/>
      <c r="S135" s="91"/>
      <c r="T135" s="92"/>
      <c r="U135" s="92"/>
      <c r="V135" s="80"/>
      <c r="X135" s="88">
        <f t="shared" si="52"/>
        <v>297</v>
      </c>
      <c r="Y135" s="88">
        <v>1</v>
      </c>
      <c r="AA135" s="88" t="str">
        <f t="shared" ca="1" si="49"/>
        <v>128</v>
      </c>
      <c r="AB135" s="90" t="str">
        <f t="shared" ref="AB135:AB198" ca="1" si="60">TRIM(MID(INDIRECT(ADDRESS(X135,1)),(Y135-1)*19+4,16))</f>
        <v>Q_CH0</v>
      </c>
      <c r="AC135" s="91" t="str">
        <f t="shared" ca="1" si="59"/>
        <v>165C996AFBB3</v>
      </c>
      <c r="AD135" s="92" t="s">
        <v>21</v>
      </c>
      <c r="AE135" s="92">
        <f t="shared" ca="1" si="53"/>
        <v>22.3617159714222</v>
      </c>
      <c r="AF135" s="80"/>
    </row>
    <row r="136" spans="1:32">
      <c r="A136" s="79" t="str">
        <f>'CALIBRATION GUIDE'!B187</f>
        <v>384050             0                  0                  0</v>
      </c>
      <c r="D136" s="88">
        <f t="shared" si="50"/>
        <v>91</v>
      </c>
      <c r="E136" s="88">
        <v>2</v>
      </c>
      <c r="G136" s="88" t="str">
        <f t="shared" ca="1" si="54"/>
        <v>129</v>
      </c>
      <c r="H136" s="90" t="str">
        <f t="shared" ca="1" si="55"/>
        <v>K_23</v>
      </c>
      <c r="I136" s="91" t="str">
        <f t="shared" ca="1" si="56"/>
        <v>9A523</v>
      </c>
      <c r="J136" s="92" t="s">
        <v>13</v>
      </c>
      <c r="K136" s="92">
        <f t="shared" ca="1" si="57"/>
        <v>617.2841796875</v>
      </c>
      <c r="L136" s="80"/>
      <c r="Q136" s="88"/>
      <c r="R136" s="90"/>
      <c r="S136" s="91"/>
      <c r="T136" s="92"/>
      <c r="U136" s="92"/>
      <c r="V136" s="80"/>
      <c r="X136" s="88">
        <f t="shared" si="52"/>
        <v>297</v>
      </c>
      <c r="Y136" s="88">
        <v>2</v>
      </c>
      <c r="AA136" s="88" t="str">
        <f t="shared" ref="AA136:AA199" ca="1" si="61">MID(INDIRECT(ADDRESS(X136,1)),(Y136-1)*19+1,3)</f>
        <v>129</v>
      </c>
      <c r="AB136" s="90" t="str">
        <f t="shared" ca="1" si="60"/>
        <v>Q_CH1</v>
      </c>
      <c r="AC136" s="91" t="str">
        <f t="shared" ca="1" si="59"/>
        <v>1650EFFD5AF8</v>
      </c>
      <c r="AD136" s="92" t="s">
        <v>21</v>
      </c>
      <c r="AE136" s="92">
        <f t="shared" ca="1" si="53"/>
        <v>22.316161951741378</v>
      </c>
      <c r="AF136" s="80"/>
    </row>
    <row r="137" spans="1:32">
      <c r="A137" s="79" t="str">
        <f>'CALIBRATION GUIDE'!B188</f>
        <v>220 PW_OFFSET_P_02 221 PW_OFFSET_P_03 222 PW_OFFSET_P_04 223 PW_OFFSET_P_05</v>
      </c>
      <c r="D137" s="88">
        <f t="shared" si="50"/>
        <v>91</v>
      </c>
      <c r="E137" s="88">
        <v>3</v>
      </c>
      <c r="G137" s="88" t="str">
        <f t="shared" ca="1" si="54"/>
        <v>130</v>
      </c>
      <c r="H137" s="90" t="str">
        <f t="shared" ca="1" si="55"/>
        <v>K_24</v>
      </c>
      <c r="I137" s="91" t="str">
        <f t="shared" ca="1" si="56"/>
        <v>9A523</v>
      </c>
      <c r="J137" s="92" t="s">
        <v>13</v>
      </c>
      <c r="K137" s="92">
        <f t="shared" ca="1" si="57"/>
        <v>617.2841796875</v>
      </c>
      <c r="L137" s="80"/>
      <c r="Q137" s="88"/>
      <c r="R137" s="90"/>
      <c r="S137" s="91"/>
      <c r="T137" s="92"/>
      <c r="U137" s="92"/>
      <c r="V137" s="80"/>
      <c r="X137" s="88">
        <f t="shared" si="52"/>
        <v>297</v>
      </c>
      <c r="Y137" s="88">
        <v>3</v>
      </c>
      <c r="AA137" s="88" t="str">
        <f t="shared" ca="1" si="61"/>
        <v>130</v>
      </c>
      <c r="AB137" s="90" t="str">
        <f t="shared" ca="1" si="60"/>
        <v>Q_CH2</v>
      </c>
      <c r="AC137" s="91" t="str">
        <f t="shared" ca="1" si="59"/>
        <v>164F145D3302</v>
      </c>
      <c r="AD137" s="92" t="s">
        <v>21</v>
      </c>
      <c r="AE137" s="92">
        <f t="shared" ca="1" si="53"/>
        <v>22.308904480889396</v>
      </c>
      <c r="AF137" s="80"/>
    </row>
    <row r="138" spans="1:32">
      <c r="A138" s="79" t="str">
        <f>'CALIBRATION GUIDE'!B189</f>
        <v>0                  0                  0                  0</v>
      </c>
      <c r="D138" s="88">
        <f t="shared" si="50"/>
        <v>91</v>
      </c>
      <c r="E138" s="88">
        <v>4</v>
      </c>
      <c r="G138" s="88" t="str">
        <f t="shared" ca="1" si="54"/>
        <v>131</v>
      </c>
      <c r="H138" s="90" t="str">
        <f t="shared" ca="1" si="55"/>
        <v>K_25</v>
      </c>
      <c r="I138" s="91" t="str">
        <f t="shared" ca="1" si="56"/>
        <v>9A523</v>
      </c>
      <c r="J138" s="92" t="s">
        <v>13</v>
      </c>
      <c r="K138" s="92">
        <f t="shared" ca="1" si="57"/>
        <v>617.2841796875</v>
      </c>
      <c r="L138" s="80"/>
      <c r="Q138" s="88"/>
      <c r="R138" s="90"/>
      <c r="S138" s="91"/>
      <c r="T138" s="92"/>
      <c r="U138" s="92"/>
      <c r="V138" s="80"/>
      <c r="X138" s="88">
        <f t="shared" si="52"/>
        <v>297</v>
      </c>
      <c r="Y138" s="88">
        <v>4</v>
      </c>
      <c r="AA138" s="88" t="str">
        <f t="shared" ca="1" si="61"/>
        <v>131</v>
      </c>
      <c r="AB138" s="90" t="str">
        <f t="shared" ca="1" si="60"/>
        <v>Q_CH3</v>
      </c>
      <c r="AC138" s="91" t="str">
        <f t="shared" ca="1" si="59"/>
        <v>0</v>
      </c>
      <c r="AD138" s="92" t="s">
        <v>21</v>
      </c>
      <c r="AE138" s="92">
        <f t="shared" ca="1" si="53"/>
        <v>0</v>
      </c>
      <c r="AF138" s="80"/>
    </row>
    <row r="139" spans="1:32">
      <c r="A139" s="79" t="str">
        <f>'CALIBRATION GUIDE'!B190</f>
        <v>224 PW_OFFSET_P_06 225 PW_OFFSET_P_07 226 PW_OFFSET_P_08 227 PW_OFFSET_P_09</v>
      </c>
      <c r="D139" s="88">
        <f t="shared" si="50"/>
        <v>93</v>
      </c>
      <c r="E139" s="88">
        <v>1</v>
      </c>
      <c r="G139" s="88" t="str">
        <f t="shared" ca="1" si="54"/>
        <v>132</v>
      </c>
      <c r="H139" s="90" t="str">
        <f t="shared" ca="1" si="55"/>
        <v>K_26</v>
      </c>
      <c r="I139" s="91" t="str">
        <f t="shared" ca="1" si="56"/>
        <v>9A523</v>
      </c>
      <c r="J139" s="92" t="s">
        <v>13</v>
      </c>
      <c r="K139" s="92">
        <f t="shared" ca="1" si="57"/>
        <v>617.2841796875</v>
      </c>
      <c r="L139" s="80"/>
      <c r="Q139" s="88"/>
      <c r="R139" s="90"/>
      <c r="S139" s="91"/>
      <c r="T139" s="92"/>
      <c r="U139" s="92"/>
      <c r="V139" s="80"/>
      <c r="X139" s="88">
        <f t="shared" si="52"/>
        <v>299</v>
      </c>
      <c r="Y139" s="88">
        <v>1</v>
      </c>
      <c r="AA139" s="88" t="str">
        <f t="shared" ca="1" si="61"/>
        <v>132</v>
      </c>
      <c r="AB139" s="90" t="str">
        <f t="shared" ca="1" si="60"/>
        <v>Q_CH4</v>
      </c>
      <c r="AC139" s="91" t="str">
        <f t="shared" ca="1" si="59"/>
        <v>0</v>
      </c>
      <c r="AD139" s="92" t="s">
        <v>21</v>
      </c>
      <c r="AE139" s="92">
        <f t="shared" ca="1" si="53"/>
        <v>0</v>
      </c>
      <c r="AF139" s="80"/>
    </row>
    <row r="140" spans="1:32">
      <c r="A140" s="79" t="str">
        <f>'CALIBRATION GUIDE'!B191</f>
        <v>0                  0                  0                  0</v>
      </c>
      <c r="D140" s="88">
        <f t="shared" ref="D140:D203" si="62">D136+2</f>
        <v>93</v>
      </c>
      <c r="E140" s="88">
        <v>2</v>
      </c>
      <c r="G140" s="88" t="str">
        <f t="shared" ca="1" si="54"/>
        <v>133</v>
      </c>
      <c r="H140" s="90" t="str">
        <f t="shared" ca="1" si="55"/>
        <v>K_27</v>
      </c>
      <c r="I140" s="91" t="str">
        <f t="shared" ca="1" si="56"/>
        <v>9A523</v>
      </c>
      <c r="J140" s="92" t="s">
        <v>13</v>
      </c>
      <c r="K140" s="92">
        <f t="shared" ca="1" si="57"/>
        <v>617.2841796875</v>
      </c>
      <c r="L140" s="80"/>
      <c r="Q140" s="88"/>
      <c r="R140" s="90"/>
      <c r="S140" s="91"/>
      <c r="T140" s="92"/>
      <c r="U140" s="92"/>
      <c r="V140" s="80"/>
      <c r="X140" s="88">
        <f t="shared" ref="X140:X203" si="63">X136+2</f>
        <v>299</v>
      </c>
      <c r="Y140" s="88">
        <v>2</v>
      </c>
      <c r="AA140" s="88" t="str">
        <f t="shared" ca="1" si="61"/>
        <v>133</v>
      </c>
      <c r="AB140" s="90" t="str">
        <f t="shared" ca="1" si="60"/>
        <v>Q_CH5</v>
      </c>
      <c r="AC140" s="91" t="str">
        <f t="shared" ca="1" si="59"/>
        <v>0</v>
      </c>
      <c r="AD140" s="92" t="s">
        <v>21</v>
      </c>
      <c r="AE140" s="92">
        <f t="shared" ca="1" si="53"/>
        <v>0</v>
      </c>
      <c r="AF140" s="80"/>
    </row>
    <row r="141" spans="1:32">
      <c r="A141" s="79" t="str">
        <f>'CALIBRATION GUIDE'!B192</f>
        <v>228 PW_OFFSET_P_10 229 PW_OFFSET_P_11 230 PW_OFFSET_P_12 231 PW_OFFSET_P_13</v>
      </c>
      <c r="D141" s="88">
        <f t="shared" si="62"/>
        <v>93</v>
      </c>
      <c r="E141" s="88">
        <v>3</v>
      </c>
      <c r="G141" s="88" t="str">
        <f t="shared" ca="1" si="54"/>
        <v>134</v>
      </c>
      <c r="H141" s="90" t="str">
        <f t="shared" ca="1" si="55"/>
        <v>K_28</v>
      </c>
      <c r="I141" s="91" t="str">
        <f t="shared" ca="1" si="56"/>
        <v>9A523</v>
      </c>
      <c r="J141" s="92" t="s">
        <v>13</v>
      </c>
      <c r="K141" s="92">
        <f t="shared" ca="1" si="57"/>
        <v>617.2841796875</v>
      </c>
      <c r="L141" s="80"/>
      <c r="Q141" s="88"/>
      <c r="R141" s="90"/>
      <c r="S141" s="91"/>
      <c r="T141" s="92"/>
      <c r="U141" s="92"/>
      <c r="V141" s="80"/>
      <c r="X141" s="88">
        <f t="shared" si="63"/>
        <v>299</v>
      </c>
      <c r="Y141" s="88">
        <v>3</v>
      </c>
      <c r="AA141" s="88" t="str">
        <f t="shared" ca="1" si="61"/>
        <v>134</v>
      </c>
      <c r="AB141" s="90" t="str">
        <f t="shared" ca="1" si="60"/>
        <v>Q_CH6</v>
      </c>
      <c r="AC141" s="91" t="str">
        <f t="shared" ca="1" si="59"/>
        <v>0</v>
      </c>
      <c r="AD141" s="92" t="s">
        <v>21</v>
      </c>
      <c r="AE141" s="92">
        <f t="shared" ca="1" si="53"/>
        <v>0</v>
      </c>
      <c r="AF141" s="80"/>
    </row>
    <row r="142" spans="1:32">
      <c r="A142" s="79" t="str">
        <f>'CALIBRATION GUIDE'!B193</f>
        <v>0                  0                  0                  0</v>
      </c>
      <c r="D142" s="88">
        <f t="shared" si="62"/>
        <v>93</v>
      </c>
      <c r="E142" s="88">
        <v>4</v>
      </c>
      <c r="G142" s="88" t="str">
        <f t="shared" ca="1" si="54"/>
        <v>135</v>
      </c>
      <c r="H142" s="90" t="str">
        <f t="shared" ca="1" si="55"/>
        <v>K_29</v>
      </c>
      <c r="I142" s="91" t="str">
        <f t="shared" ca="1" si="56"/>
        <v>9A523</v>
      </c>
      <c r="J142" s="92" t="s">
        <v>13</v>
      </c>
      <c r="K142" s="92">
        <f t="shared" ca="1" si="57"/>
        <v>617.2841796875</v>
      </c>
      <c r="L142" s="80"/>
      <c r="Q142" s="88"/>
      <c r="R142" s="90"/>
      <c r="S142" s="91"/>
      <c r="T142" s="92"/>
      <c r="U142" s="92"/>
      <c r="V142" s="80"/>
      <c r="X142" s="88">
        <f t="shared" si="63"/>
        <v>299</v>
      </c>
      <c r="Y142" s="88">
        <v>4</v>
      </c>
      <c r="AA142" s="88" t="str">
        <f t="shared" ca="1" si="61"/>
        <v>135</v>
      </c>
      <c r="AB142" s="90" t="str">
        <f t="shared" ca="1" si="60"/>
        <v>Q_CH7</v>
      </c>
      <c r="AC142" s="91" t="str">
        <f t="shared" ca="1" si="59"/>
        <v>0</v>
      </c>
      <c r="AD142" s="92" t="s">
        <v>21</v>
      </c>
      <c r="AE142" s="92">
        <f t="shared" ca="1" si="53"/>
        <v>0</v>
      </c>
      <c r="AF142" s="80"/>
    </row>
    <row r="143" spans="1:32">
      <c r="A143" s="79" t="str">
        <f>'CALIBRATION GUIDE'!B194</f>
        <v>232 PW_OFFSET_P_14 233 PW_OFFSET_P_15 234 PW_OFFSET_P_16 235 PW_OFFSET_P_17</v>
      </c>
      <c r="D143" s="88">
        <f t="shared" si="62"/>
        <v>95</v>
      </c>
      <c r="E143" s="88">
        <v>1</v>
      </c>
      <c r="G143" s="88" t="str">
        <f t="shared" ca="1" si="54"/>
        <v>136</v>
      </c>
      <c r="H143" s="90" t="str">
        <f t="shared" ca="1" si="55"/>
        <v>K_30</v>
      </c>
      <c r="I143" s="91" t="str">
        <f t="shared" ca="1" si="56"/>
        <v>9A523</v>
      </c>
      <c r="J143" s="92" t="s">
        <v>13</v>
      </c>
      <c r="K143" s="92">
        <f t="shared" ca="1" si="57"/>
        <v>617.2841796875</v>
      </c>
      <c r="L143" s="80"/>
      <c r="Q143" s="88"/>
      <c r="R143" s="90"/>
      <c r="S143" s="91"/>
      <c r="T143" s="92"/>
      <c r="U143" s="92"/>
      <c r="V143" s="80"/>
      <c r="X143" s="88">
        <f t="shared" si="63"/>
        <v>301</v>
      </c>
      <c r="Y143" s="88">
        <v>1</v>
      </c>
      <c r="AA143" s="88" t="str">
        <f t="shared" ca="1" si="61"/>
        <v>136</v>
      </c>
      <c r="AB143" s="90" t="str">
        <f t="shared" ca="1" si="60"/>
        <v>Q_CH8</v>
      </c>
      <c r="AC143" s="91" t="str">
        <f t="shared" ca="1" si="59"/>
        <v>0</v>
      </c>
      <c r="AD143" s="92" t="s">
        <v>21</v>
      </c>
      <c r="AE143" s="92">
        <f t="shared" ca="1" si="53"/>
        <v>0</v>
      </c>
      <c r="AF143" s="80"/>
    </row>
    <row r="144" spans="1:32">
      <c r="A144" s="79" t="str">
        <f>'CALIBRATION GUIDE'!B195</f>
        <v>0                  0                  0                  0</v>
      </c>
      <c r="D144" s="88">
        <f t="shared" si="62"/>
        <v>95</v>
      </c>
      <c r="E144" s="88">
        <v>2</v>
      </c>
      <c r="G144" s="88" t="str">
        <f t="shared" ca="1" si="54"/>
        <v>137</v>
      </c>
      <c r="H144" s="90" t="str">
        <f t="shared" ca="1" si="55"/>
        <v>K_31</v>
      </c>
      <c r="I144" s="91" t="str">
        <f t="shared" ca="1" si="56"/>
        <v>9A523</v>
      </c>
      <c r="J144" s="92" t="s">
        <v>13</v>
      </c>
      <c r="K144" s="92">
        <f t="shared" ca="1" si="57"/>
        <v>617.2841796875</v>
      </c>
      <c r="L144" s="80"/>
      <c r="Q144" s="88"/>
      <c r="R144" s="90"/>
      <c r="S144" s="91"/>
      <c r="T144" s="92"/>
      <c r="U144" s="92"/>
      <c r="V144" s="80"/>
      <c r="X144" s="88">
        <f t="shared" si="63"/>
        <v>301</v>
      </c>
      <c r="Y144" s="88">
        <v>2</v>
      </c>
      <c r="AA144" s="88" t="str">
        <f t="shared" ca="1" si="61"/>
        <v>137</v>
      </c>
      <c r="AB144" s="90" t="str">
        <f t="shared" ca="1" si="60"/>
        <v>Q_CH9</v>
      </c>
      <c r="AC144" s="91" t="str">
        <f t="shared" ca="1" si="59"/>
        <v>0</v>
      </c>
      <c r="AD144" s="92" t="s">
        <v>21</v>
      </c>
      <c r="AE144" s="92">
        <f t="shared" ca="1" si="53"/>
        <v>0</v>
      </c>
      <c r="AF144" s="80"/>
    </row>
    <row r="145" spans="1:32">
      <c r="A145" s="79" t="str">
        <f>'CALIBRATION GUIDE'!B196</f>
        <v>236 PW_OFFSET_P_18 237 PW_OFFSET_P_19 238 PW_OFFSET_P_20 239 PW_OFFSET_P_21</v>
      </c>
      <c r="D145" s="88">
        <f t="shared" si="62"/>
        <v>95</v>
      </c>
      <c r="E145" s="88">
        <v>3</v>
      </c>
      <c r="G145" s="88" t="str">
        <f t="shared" ca="1" si="54"/>
        <v>138</v>
      </c>
      <c r="H145" s="90" t="str">
        <f t="shared" ca="1" si="55"/>
        <v>CAL_M_00</v>
      </c>
      <c r="I145" s="91" t="str">
        <f t="shared" ca="1" si="56"/>
        <v>20000000</v>
      </c>
      <c r="J145" s="92" t="s">
        <v>15</v>
      </c>
      <c r="K145" s="92">
        <f t="shared" ca="1" si="57"/>
        <v>1</v>
      </c>
      <c r="L145" s="80"/>
      <c r="Q145" s="88"/>
      <c r="R145" s="90"/>
      <c r="S145" s="91"/>
      <c r="T145" s="92"/>
      <c r="U145" s="92"/>
      <c r="V145" s="80"/>
      <c r="X145" s="88">
        <f t="shared" si="63"/>
        <v>301</v>
      </c>
      <c r="Y145" s="88">
        <v>3</v>
      </c>
      <c r="AA145" s="88" t="str">
        <f t="shared" ca="1" si="61"/>
        <v>138</v>
      </c>
      <c r="AB145" s="90" t="str">
        <f t="shared" ca="1" si="60"/>
        <v>Q_CH10</v>
      </c>
      <c r="AC145" s="91" t="str">
        <f t="shared" ca="1" si="59"/>
        <v>0</v>
      </c>
      <c r="AD145" s="92" t="s">
        <v>21</v>
      </c>
      <c r="AE145" s="92">
        <f t="shared" ref="AE145:AE208" ca="1" si="64">(HEX2DEC(LEFT(REPT("0",16-LEN(AC145))&amp;AC145,10))*16^6+HEX2DEC(RIGHT(AC145,6)))/2^(0+MID(AD145,FIND(".",AD145)+1,2))</f>
        <v>0</v>
      </c>
      <c r="AF145" s="80"/>
    </row>
    <row r="146" spans="1:32">
      <c r="A146" s="79" t="str">
        <f>'CALIBRATION GUIDE'!B197</f>
        <v>0                  0                  0                  0</v>
      </c>
      <c r="D146" s="88">
        <f t="shared" si="62"/>
        <v>95</v>
      </c>
      <c r="E146" s="88">
        <v>4</v>
      </c>
      <c r="G146" s="88" t="str">
        <f t="shared" ca="1" si="54"/>
        <v>139</v>
      </c>
      <c r="H146" s="90" t="str">
        <f t="shared" ca="1" si="55"/>
        <v>CAL_M_01</v>
      </c>
      <c r="I146" s="91" t="str">
        <f t="shared" ca="1" si="56"/>
        <v>20000000</v>
      </c>
      <c r="J146" s="92" t="s">
        <v>15</v>
      </c>
      <c r="K146" s="92">
        <f t="shared" ca="1" si="57"/>
        <v>1</v>
      </c>
      <c r="L146" s="80"/>
      <c r="Q146" s="88"/>
      <c r="R146" s="90"/>
      <c r="S146" s="91"/>
      <c r="T146" s="92"/>
      <c r="U146" s="92"/>
      <c r="V146" s="80"/>
      <c r="X146" s="88">
        <f t="shared" si="63"/>
        <v>301</v>
      </c>
      <c r="Y146" s="88">
        <v>4</v>
      </c>
      <c r="AA146" s="88" t="str">
        <f t="shared" ca="1" si="61"/>
        <v>139</v>
      </c>
      <c r="AB146" s="90" t="str">
        <f t="shared" ca="1" si="60"/>
        <v>Q_CH11</v>
      </c>
      <c r="AC146" s="91" t="str">
        <f t="shared" ca="1" si="59"/>
        <v>0</v>
      </c>
      <c r="AD146" s="92" t="s">
        <v>21</v>
      </c>
      <c r="AE146" s="92">
        <f t="shared" ca="1" si="64"/>
        <v>0</v>
      </c>
      <c r="AF146" s="80"/>
    </row>
    <row r="147" spans="1:32">
      <c r="A147" s="79" t="str">
        <f>'CALIBRATION GUIDE'!B198</f>
        <v>240 PW_OFFSET_P_22 241 PW_OFFSET_P_23 242 PW_OFFSET_P_24 243 PW_OFFSET_P_25</v>
      </c>
      <c r="D147" s="88">
        <f t="shared" si="62"/>
        <v>97</v>
      </c>
      <c r="E147" s="88">
        <v>1</v>
      </c>
      <c r="G147" s="88" t="str">
        <f t="shared" ca="1" si="54"/>
        <v>140</v>
      </c>
      <c r="H147" s="90" t="str">
        <f t="shared" ca="1" si="55"/>
        <v>CAL_M_02</v>
      </c>
      <c r="I147" s="91" t="str">
        <f t="shared" ca="1" si="56"/>
        <v>20000000</v>
      </c>
      <c r="J147" s="92" t="s">
        <v>15</v>
      </c>
      <c r="K147" s="92">
        <f t="shared" ca="1" si="57"/>
        <v>1</v>
      </c>
      <c r="L147" s="80"/>
      <c r="Q147" s="88"/>
      <c r="R147" s="90"/>
      <c r="S147" s="91"/>
      <c r="T147" s="92"/>
      <c r="U147" s="92"/>
      <c r="V147" s="80"/>
      <c r="X147" s="88">
        <f t="shared" si="63"/>
        <v>303</v>
      </c>
      <c r="Y147" s="88">
        <v>1</v>
      </c>
      <c r="AA147" s="88" t="str">
        <f t="shared" ca="1" si="61"/>
        <v>140</v>
      </c>
      <c r="AB147" s="90" t="str">
        <f t="shared" ca="1" si="60"/>
        <v>Q_CH12</v>
      </c>
      <c r="AC147" s="91" t="str">
        <f t="shared" ca="1" si="59"/>
        <v>0</v>
      </c>
      <c r="AD147" s="92" t="s">
        <v>21</v>
      </c>
      <c r="AE147" s="92">
        <f t="shared" ca="1" si="64"/>
        <v>0</v>
      </c>
      <c r="AF147" s="80"/>
    </row>
    <row r="148" spans="1:32">
      <c r="A148" s="79" t="str">
        <f>'CALIBRATION GUIDE'!B199</f>
        <v>0                  0                  0                  0</v>
      </c>
      <c r="D148" s="88">
        <f t="shared" si="62"/>
        <v>97</v>
      </c>
      <c r="E148" s="88">
        <v>2</v>
      </c>
      <c r="G148" s="88" t="str">
        <f t="shared" ca="1" si="54"/>
        <v>141</v>
      </c>
      <c r="H148" s="90" t="str">
        <f t="shared" ca="1" si="55"/>
        <v>CAL_M_03</v>
      </c>
      <c r="I148" s="91" t="str">
        <f t="shared" ca="1" si="56"/>
        <v>20000000</v>
      </c>
      <c r="J148" s="92" t="s">
        <v>15</v>
      </c>
      <c r="K148" s="92">
        <f t="shared" ca="1" si="57"/>
        <v>1</v>
      </c>
      <c r="L148" s="80"/>
      <c r="Q148" s="88"/>
      <c r="R148" s="90"/>
      <c r="S148" s="91"/>
      <c r="T148" s="92"/>
      <c r="U148" s="92"/>
      <c r="V148" s="80"/>
      <c r="X148" s="88">
        <f t="shared" si="63"/>
        <v>303</v>
      </c>
      <c r="Y148" s="88">
        <v>2</v>
      </c>
      <c r="AA148" s="88" t="str">
        <f t="shared" ca="1" si="61"/>
        <v>141</v>
      </c>
      <c r="AB148" s="90" t="str">
        <f t="shared" ca="1" si="60"/>
        <v>Q_CH13</v>
      </c>
      <c r="AC148" s="91" t="str">
        <f t="shared" ca="1" si="59"/>
        <v>0</v>
      </c>
      <c r="AD148" s="92" t="s">
        <v>21</v>
      </c>
      <c r="AE148" s="92">
        <f t="shared" ca="1" si="64"/>
        <v>0</v>
      </c>
      <c r="AF148" s="80"/>
    </row>
    <row r="149" spans="1:32">
      <c r="A149" s="79" t="str">
        <f>'CALIBRATION GUIDE'!B200</f>
        <v>244 PW_OFFSET_P_26 245 PW_OFFSET_P_27 246 PW_OFFSET_P_28 247 PW_OFFSET_P_29</v>
      </c>
      <c r="D149" s="88">
        <f t="shared" si="62"/>
        <v>97</v>
      </c>
      <c r="E149" s="88">
        <v>3</v>
      </c>
      <c r="G149" s="88" t="str">
        <f t="shared" ca="1" si="54"/>
        <v>142</v>
      </c>
      <c r="H149" s="90" t="str">
        <f t="shared" ca="1" si="55"/>
        <v>CAL_M_04</v>
      </c>
      <c r="I149" s="91" t="str">
        <f t="shared" ca="1" si="56"/>
        <v>20000000</v>
      </c>
      <c r="J149" s="92" t="s">
        <v>15</v>
      </c>
      <c r="K149" s="92">
        <f t="shared" ca="1" si="57"/>
        <v>1</v>
      </c>
      <c r="L149" s="80"/>
      <c r="Q149" s="88"/>
      <c r="R149" s="90"/>
      <c r="S149" s="91"/>
      <c r="T149" s="92"/>
      <c r="U149" s="92"/>
      <c r="V149" s="80"/>
      <c r="X149" s="88">
        <f t="shared" si="63"/>
        <v>303</v>
      </c>
      <c r="Y149" s="88">
        <v>3</v>
      </c>
      <c r="AA149" s="88" t="str">
        <f t="shared" ca="1" si="61"/>
        <v>142</v>
      </c>
      <c r="AB149" s="90" t="str">
        <f t="shared" ca="1" si="60"/>
        <v>Q_CH14</v>
      </c>
      <c r="AC149" s="91" t="str">
        <f t="shared" ca="1" si="59"/>
        <v>0</v>
      </c>
      <c r="AD149" s="92" t="s">
        <v>21</v>
      </c>
      <c r="AE149" s="92">
        <f t="shared" ca="1" si="64"/>
        <v>0</v>
      </c>
      <c r="AF149" s="80"/>
    </row>
    <row r="150" spans="1:32">
      <c r="A150" s="79" t="str">
        <f>'CALIBRATION GUIDE'!B201</f>
        <v>0                  0                  0                  0</v>
      </c>
      <c r="D150" s="88">
        <f t="shared" si="62"/>
        <v>97</v>
      </c>
      <c r="E150" s="88">
        <v>4</v>
      </c>
      <c r="G150" s="88" t="str">
        <f t="shared" ca="1" si="54"/>
        <v>143</v>
      </c>
      <c r="H150" s="90" t="str">
        <f t="shared" ca="1" si="55"/>
        <v>CAL_M_05</v>
      </c>
      <c r="I150" s="91" t="str">
        <f t="shared" ca="1" si="56"/>
        <v>20000000</v>
      </c>
      <c r="J150" s="92" t="s">
        <v>15</v>
      </c>
      <c r="K150" s="92">
        <f t="shared" ca="1" si="57"/>
        <v>1</v>
      </c>
      <c r="L150" s="80"/>
      <c r="Q150" s="88"/>
      <c r="R150" s="90"/>
      <c r="S150" s="91"/>
      <c r="T150" s="92"/>
      <c r="U150" s="92"/>
      <c r="V150" s="80"/>
      <c r="X150" s="88">
        <f t="shared" si="63"/>
        <v>303</v>
      </c>
      <c r="Y150" s="88">
        <v>4</v>
      </c>
      <c r="AA150" s="88" t="str">
        <f t="shared" ca="1" si="61"/>
        <v>143</v>
      </c>
      <c r="AB150" s="90" t="str">
        <f t="shared" ca="1" si="60"/>
        <v>Q_CH15</v>
      </c>
      <c r="AC150" s="91" t="str">
        <f t="shared" ca="1" si="59"/>
        <v>0</v>
      </c>
      <c r="AD150" s="92" t="s">
        <v>21</v>
      </c>
      <c r="AE150" s="92">
        <f t="shared" ca="1" si="64"/>
        <v>0</v>
      </c>
      <c r="AF150" s="80"/>
    </row>
    <row r="151" spans="1:32">
      <c r="A151" s="79" t="str">
        <f>'CALIBRATION GUIDE'!B202</f>
        <v>248 PW_OFFSET_P_30 249 RESERVED_C249  250 PW_OFFSET_Q_00 251 PW_OFFSET_Q_01</v>
      </c>
      <c r="D151" s="88">
        <f t="shared" si="62"/>
        <v>99</v>
      </c>
      <c r="E151" s="88">
        <v>1</v>
      </c>
      <c r="G151" s="88" t="str">
        <f t="shared" ca="1" si="54"/>
        <v>144</v>
      </c>
      <c r="H151" s="90" t="str">
        <f t="shared" ca="1" si="55"/>
        <v>CAL_M_06</v>
      </c>
      <c r="I151" s="91" t="str">
        <f t="shared" ca="1" si="56"/>
        <v>20000000</v>
      </c>
      <c r="J151" s="92" t="s">
        <v>15</v>
      </c>
      <c r="K151" s="92">
        <f t="shared" ca="1" si="57"/>
        <v>1</v>
      </c>
      <c r="L151" s="80"/>
      <c r="Q151" s="88"/>
      <c r="R151" s="90"/>
      <c r="S151" s="91"/>
      <c r="T151" s="92"/>
      <c r="U151" s="92"/>
      <c r="V151" s="80"/>
      <c r="X151" s="88">
        <f t="shared" si="63"/>
        <v>305</v>
      </c>
      <c r="Y151" s="88">
        <v>1</v>
      </c>
      <c r="AA151" s="88" t="str">
        <f t="shared" ca="1" si="61"/>
        <v>144</v>
      </c>
      <c r="AB151" s="90" t="str">
        <f t="shared" ca="1" si="60"/>
        <v>Q_CH16</v>
      </c>
      <c r="AC151" s="91" t="str">
        <f t="shared" ca="1" si="59"/>
        <v>0</v>
      </c>
      <c r="AD151" s="92" t="s">
        <v>21</v>
      </c>
      <c r="AE151" s="92">
        <f t="shared" ca="1" si="64"/>
        <v>0</v>
      </c>
      <c r="AF151" s="80"/>
    </row>
    <row r="152" spans="1:32">
      <c r="A152" s="79" t="str">
        <f>'CALIBRATION GUIDE'!B203</f>
        <v>0                  0                  0                  0</v>
      </c>
      <c r="D152" s="88">
        <f t="shared" si="62"/>
        <v>99</v>
      </c>
      <c r="E152" s="88">
        <v>2</v>
      </c>
      <c r="G152" s="88" t="str">
        <f t="shared" ca="1" si="54"/>
        <v>145</v>
      </c>
      <c r="H152" s="90" t="str">
        <f t="shared" ca="1" si="55"/>
        <v>CAL_M_07</v>
      </c>
      <c r="I152" s="91" t="str">
        <f t="shared" ca="1" si="56"/>
        <v>20000000</v>
      </c>
      <c r="J152" s="92" t="s">
        <v>15</v>
      </c>
      <c r="K152" s="92">
        <f t="shared" ca="1" si="57"/>
        <v>1</v>
      </c>
      <c r="L152" s="80"/>
      <c r="Q152" s="88"/>
      <c r="R152" s="90"/>
      <c r="S152" s="91"/>
      <c r="T152" s="92"/>
      <c r="U152" s="92"/>
      <c r="V152" s="80"/>
      <c r="X152" s="88">
        <f t="shared" si="63"/>
        <v>305</v>
      </c>
      <c r="Y152" s="88">
        <v>2</v>
      </c>
      <c r="AA152" s="88" t="str">
        <f t="shared" ca="1" si="61"/>
        <v>145</v>
      </c>
      <c r="AB152" s="90" t="str">
        <f t="shared" ca="1" si="60"/>
        <v>Q_CH17</v>
      </c>
      <c r="AC152" s="91" t="str">
        <f t="shared" ca="1" si="59"/>
        <v>0</v>
      </c>
      <c r="AD152" s="92" t="s">
        <v>21</v>
      </c>
      <c r="AE152" s="92">
        <f t="shared" ca="1" si="64"/>
        <v>0</v>
      </c>
      <c r="AF152" s="80"/>
    </row>
    <row r="153" spans="1:32">
      <c r="A153" s="79" t="str">
        <f>'CALIBRATION GUIDE'!B204</f>
        <v>252 PW_OFFSET_Q_02 253 PW_OFFSET_Q_03 254 PW_OFFSET_Q_04 255 PW_OFFSET_Q_05</v>
      </c>
      <c r="D153" s="88">
        <f t="shared" si="62"/>
        <v>99</v>
      </c>
      <c r="E153" s="88">
        <v>3</v>
      </c>
      <c r="G153" s="88" t="str">
        <f t="shared" ca="1" si="54"/>
        <v>146</v>
      </c>
      <c r="H153" s="90" t="str">
        <f t="shared" ca="1" si="55"/>
        <v>CAL_M_08</v>
      </c>
      <c r="I153" s="91" t="str">
        <f t="shared" ca="1" si="56"/>
        <v>20000000</v>
      </c>
      <c r="J153" s="92" t="s">
        <v>15</v>
      </c>
      <c r="K153" s="92">
        <f t="shared" ca="1" si="57"/>
        <v>1</v>
      </c>
      <c r="L153" s="80"/>
      <c r="Q153" s="88"/>
      <c r="R153" s="90"/>
      <c r="S153" s="91"/>
      <c r="T153" s="92"/>
      <c r="U153" s="92"/>
      <c r="V153" s="80"/>
      <c r="X153" s="88">
        <f t="shared" si="63"/>
        <v>305</v>
      </c>
      <c r="Y153" s="88">
        <v>3</v>
      </c>
      <c r="AA153" s="88" t="str">
        <f t="shared" ca="1" si="61"/>
        <v>146</v>
      </c>
      <c r="AB153" s="90" t="str">
        <f t="shared" ca="1" si="60"/>
        <v>Q_CH18</v>
      </c>
      <c r="AC153" s="91" t="str">
        <f t="shared" ca="1" si="59"/>
        <v>0</v>
      </c>
      <c r="AD153" s="92" t="s">
        <v>21</v>
      </c>
      <c r="AE153" s="92">
        <f t="shared" ca="1" si="64"/>
        <v>0</v>
      </c>
      <c r="AF153" s="80"/>
    </row>
    <row r="154" spans="1:32">
      <c r="A154" s="79" t="str">
        <f>'CALIBRATION GUIDE'!B205</f>
        <v>0                  0                  0                  0</v>
      </c>
      <c r="D154" s="88">
        <f t="shared" si="62"/>
        <v>99</v>
      </c>
      <c r="E154" s="88">
        <v>4</v>
      </c>
      <c r="G154" s="88" t="str">
        <f t="shared" ca="1" si="54"/>
        <v>147</v>
      </c>
      <c r="H154" s="90" t="str">
        <f t="shared" ca="1" si="55"/>
        <v>CAL_M_09</v>
      </c>
      <c r="I154" s="91" t="str">
        <f t="shared" ca="1" si="56"/>
        <v>20000000</v>
      </c>
      <c r="J154" s="92" t="s">
        <v>15</v>
      </c>
      <c r="K154" s="92">
        <f t="shared" ca="1" si="57"/>
        <v>1</v>
      </c>
      <c r="L154" s="80"/>
      <c r="Q154" s="88"/>
      <c r="R154" s="90"/>
      <c r="S154" s="91"/>
      <c r="T154" s="92"/>
      <c r="U154" s="92"/>
      <c r="V154" s="80"/>
      <c r="X154" s="88">
        <f t="shared" si="63"/>
        <v>305</v>
      </c>
      <c r="Y154" s="88">
        <v>4</v>
      </c>
      <c r="AA154" s="88" t="str">
        <f t="shared" ca="1" si="61"/>
        <v>147</v>
      </c>
      <c r="AB154" s="90" t="str">
        <f t="shared" ca="1" si="60"/>
        <v>Q_CH19</v>
      </c>
      <c r="AC154" s="91" t="str">
        <f t="shared" ca="1" si="59"/>
        <v>0</v>
      </c>
      <c r="AD154" s="92" t="s">
        <v>21</v>
      </c>
      <c r="AE154" s="92">
        <f t="shared" ca="1" si="64"/>
        <v>0</v>
      </c>
      <c r="AF154" s="80"/>
    </row>
    <row r="155" spans="1:32">
      <c r="A155" s="79" t="str">
        <f>'CALIBRATION GUIDE'!B206</f>
        <v>256 PW_OFFSET_Q_06 257 PW_OFFSET_Q_07 258 PW_OFFSET_Q_08 259 PW_OFFSET_Q_09</v>
      </c>
      <c r="D155" s="88">
        <f t="shared" si="62"/>
        <v>101</v>
      </c>
      <c r="E155" s="88">
        <v>1</v>
      </c>
      <c r="G155" s="88" t="str">
        <f t="shared" ca="1" si="54"/>
        <v>148</v>
      </c>
      <c r="H155" s="90" t="str">
        <f t="shared" ca="1" si="55"/>
        <v>CAL_M_10</v>
      </c>
      <c r="I155" s="91" t="str">
        <f t="shared" ca="1" si="56"/>
        <v>20000000</v>
      </c>
      <c r="J155" s="92" t="s">
        <v>15</v>
      </c>
      <c r="K155" s="92">
        <f t="shared" ca="1" si="57"/>
        <v>1</v>
      </c>
      <c r="L155" s="80"/>
      <c r="Q155" s="88"/>
      <c r="R155" s="90"/>
      <c r="S155" s="91"/>
      <c r="T155" s="92"/>
      <c r="U155" s="92"/>
      <c r="V155" s="80"/>
      <c r="X155" s="88">
        <f t="shared" si="63"/>
        <v>307</v>
      </c>
      <c r="Y155" s="88">
        <v>1</v>
      </c>
      <c r="AA155" s="88" t="str">
        <f t="shared" ca="1" si="61"/>
        <v>148</v>
      </c>
      <c r="AB155" s="90" t="str">
        <f t="shared" ca="1" si="60"/>
        <v>Q_CH20</v>
      </c>
      <c r="AC155" s="91" t="str">
        <f t="shared" ca="1" si="59"/>
        <v>0</v>
      </c>
      <c r="AD155" s="92" t="s">
        <v>21</v>
      </c>
      <c r="AE155" s="92">
        <f t="shared" ca="1" si="64"/>
        <v>0</v>
      </c>
      <c r="AF155" s="80"/>
    </row>
    <row r="156" spans="1:32">
      <c r="A156" s="79" t="str">
        <f>'CALIBRATION GUIDE'!B207</f>
        <v>0                  0                  0                  0</v>
      </c>
      <c r="D156" s="88">
        <f t="shared" si="62"/>
        <v>101</v>
      </c>
      <c r="E156" s="88">
        <v>2</v>
      </c>
      <c r="G156" s="88" t="str">
        <f t="shared" ca="1" si="54"/>
        <v>149</v>
      </c>
      <c r="H156" s="90" t="str">
        <f t="shared" ca="1" si="55"/>
        <v>CAL_M_11</v>
      </c>
      <c r="I156" s="91" t="str">
        <f t="shared" ca="1" si="56"/>
        <v>20000000</v>
      </c>
      <c r="J156" s="92" t="s">
        <v>15</v>
      </c>
      <c r="K156" s="92">
        <f t="shared" ca="1" si="57"/>
        <v>1</v>
      </c>
      <c r="L156" s="80"/>
      <c r="Q156" s="88"/>
      <c r="R156" s="90"/>
      <c r="S156" s="91"/>
      <c r="T156" s="92"/>
      <c r="U156" s="92"/>
      <c r="V156" s="80"/>
      <c r="X156" s="88">
        <f t="shared" si="63"/>
        <v>307</v>
      </c>
      <c r="Y156" s="88">
        <v>2</v>
      </c>
      <c r="AA156" s="88" t="str">
        <f t="shared" ca="1" si="61"/>
        <v>149</v>
      </c>
      <c r="AB156" s="90" t="str">
        <f t="shared" ca="1" si="60"/>
        <v>Q_CH21</v>
      </c>
      <c r="AC156" s="91" t="str">
        <f t="shared" ca="1" si="59"/>
        <v>0</v>
      </c>
      <c r="AD156" s="92" t="s">
        <v>21</v>
      </c>
      <c r="AE156" s="92">
        <f t="shared" ca="1" si="64"/>
        <v>0</v>
      </c>
      <c r="AF156" s="80"/>
    </row>
    <row r="157" spans="1:32">
      <c r="A157" s="79" t="str">
        <f>'CALIBRATION GUIDE'!B208</f>
        <v>260 PW_OFFSET_Q_10 261 PW_OFFSET_Q_11 262 PW_OFFSET_Q_12 263 PW_OFFSET_Q_13</v>
      </c>
      <c r="D157" s="88">
        <f t="shared" si="62"/>
        <v>101</v>
      </c>
      <c r="E157" s="88">
        <v>3</v>
      </c>
      <c r="G157" s="88" t="str">
        <f t="shared" ca="1" si="54"/>
        <v>150</v>
      </c>
      <c r="H157" s="90" t="str">
        <f t="shared" ca="1" si="55"/>
        <v>CAL_M_12</v>
      </c>
      <c r="I157" s="91" t="str">
        <f t="shared" ca="1" si="56"/>
        <v>20000000</v>
      </c>
      <c r="J157" s="92" t="s">
        <v>15</v>
      </c>
      <c r="K157" s="92">
        <f t="shared" ca="1" si="57"/>
        <v>1</v>
      </c>
      <c r="L157" s="80"/>
      <c r="Q157" s="88"/>
      <c r="R157" s="90"/>
      <c r="S157" s="91"/>
      <c r="T157" s="92"/>
      <c r="U157" s="92"/>
      <c r="V157" s="80"/>
      <c r="X157" s="88">
        <f t="shared" si="63"/>
        <v>307</v>
      </c>
      <c r="Y157" s="88">
        <v>3</v>
      </c>
      <c r="AA157" s="88" t="str">
        <f t="shared" ca="1" si="61"/>
        <v>150</v>
      </c>
      <c r="AB157" s="90" t="str">
        <f t="shared" ca="1" si="60"/>
        <v>Q_CH22</v>
      </c>
      <c r="AC157" s="91" t="str">
        <f t="shared" ca="1" si="59"/>
        <v>0</v>
      </c>
      <c r="AD157" s="92" t="s">
        <v>21</v>
      </c>
      <c r="AE157" s="92">
        <f t="shared" ca="1" si="64"/>
        <v>0</v>
      </c>
      <c r="AF157" s="80"/>
    </row>
    <row r="158" spans="1:32">
      <c r="A158" s="79" t="str">
        <f>'CALIBRATION GUIDE'!B209</f>
        <v>0                  0                  0                  0</v>
      </c>
      <c r="D158" s="88">
        <f t="shared" si="62"/>
        <v>101</v>
      </c>
      <c r="E158" s="88">
        <v>4</v>
      </c>
      <c r="G158" s="88" t="str">
        <f t="shared" ca="1" si="54"/>
        <v>151</v>
      </c>
      <c r="H158" s="90" t="str">
        <f t="shared" ca="1" si="55"/>
        <v>CAL_M_13</v>
      </c>
      <c r="I158" s="91" t="str">
        <f t="shared" ca="1" si="56"/>
        <v>20000000</v>
      </c>
      <c r="J158" s="92" t="s">
        <v>15</v>
      </c>
      <c r="K158" s="92">
        <f t="shared" ca="1" si="57"/>
        <v>1</v>
      </c>
      <c r="L158" s="80"/>
      <c r="Q158" s="88"/>
      <c r="R158" s="90"/>
      <c r="S158" s="91"/>
      <c r="T158" s="92"/>
      <c r="U158" s="92"/>
      <c r="V158" s="80"/>
      <c r="X158" s="88">
        <f t="shared" si="63"/>
        <v>307</v>
      </c>
      <c r="Y158" s="88">
        <v>4</v>
      </c>
      <c r="AA158" s="88" t="str">
        <f t="shared" ca="1" si="61"/>
        <v>151</v>
      </c>
      <c r="AB158" s="90" t="str">
        <f t="shared" ca="1" si="60"/>
        <v>Q_CH23</v>
      </c>
      <c r="AC158" s="91" t="str">
        <f t="shared" ca="1" si="59"/>
        <v>0</v>
      </c>
      <c r="AD158" s="92" t="s">
        <v>21</v>
      </c>
      <c r="AE158" s="92">
        <f t="shared" ca="1" si="64"/>
        <v>0</v>
      </c>
      <c r="AF158" s="80"/>
    </row>
    <row r="159" spans="1:32">
      <c r="A159" s="79" t="str">
        <f>'CALIBRATION GUIDE'!B210</f>
        <v>264 PW_OFFSET_Q_14 265 PW_OFFSET_Q_15 266 PW_OFFSET_Q_16 267 PW_OFFSET_Q_17</v>
      </c>
      <c r="D159" s="88">
        <f t="shared" si="62"/>
        <v>103</v>
      </c>
      <c r="E159" s="88">
        <v>1</v>
      </c>
      <c r="G159" s="88" t="str">
        <f t="shared" ca="1" si="54"/>
        <v>152</v>
      </c>
      <c r="H159" s="90" t="str">
        <f t="shared" ca="1" si="55"/>
        <v>CAL_M_14</v>
      </c>
      <c r="I159" s="91" t="str">
        <f t="shared" ca="1" si="56"/>
        <v>20000000</v>
      </c>
      <c r="J159" s="92" t="s">
        <v>15</v>
      </c>
      <c r="K159" s="92">
        <f t="shared" ca="1" si="57"/>
        <v>1</v>
      </c>
      <c r="L159" s="80"/>
      <c r="Q159" s="88"/>
      <c r="R159" s="90"/>
      <c r="S159" s="91"/>
      <c r="T159" s="92"/>
      <c r="U159" s="92"/>
      <c r="V159" s="80"/>
      <c r="X159" s="88">
        <f t="shared" si="63"/>
        <v>309</v>
      </c>
      <c r="Y159" s="88">
        <v>1</v>
      </c>
      <c r="AA159" s="88" t="str">
        <f t="shared" ca="1" si="61"/>
        <v>152</v>
      </c>
      <c r="AB159" s="90" t="str">
        <f t="shared" ca="1" si="60"/>
        <v>Q_CH24</v>
      </c>
      <c r="AC159" s="91" t="str">
        <f t="shared" ca="1" si="59"/>
        <v>0</v>
      </c>
      <c r="AD159" s="92" t="s">
        <v>21</v>
      </c>
      <c r="AE159" s="92">
        <f t="shared" ca="1" si="64"/>
        <v>0</v>
      </c>
      <c r="AF159" s="80"/>
    </row>
    <row r="160" spans="1:32">
      <c r="A160" s="79" t="str">
        <f>'CALIBRATION GUIDE'!B211</f>
        <v>0                  0                  0                  0</v>
      </c>
      <c r="D160" s="88">
        <f t="shared" si="62"/>
        <v>103</v>
      </c>
      <c r="E160" s="88">
        <v>2</v>
      </c>
      <c r="G160" s="88" t="str">
        <f t="shared" ca="1" si="54"/>
        <v>153</v>
      </c>
      <c r="H160" s="90" t="str">
        <f t="shared" ca="1" si="55"/>
        <v>CAL_M_15</v>
      </c>
      <c r="I160" s="91" t="str">
        <f t="shared" ca="1" si="56"/>
        <v>20000000</v>
      </c>
      <c r="J160" s="92" t="s">
        <v>15</v>
      </c>
      <c r="K160" s="92">
        <f t="shared" ca="1" si="57"/>
        <v>1</v>
      </c>
      <c r="L160" s="80"/>
      <c r="Q160" s="88"/>
      <c r="R160" s="90"/>
      <c r="S160" s="91"/>
      <c r="T160" s="92"/>
      <c r="U160" s="92"/>
      <c r="V160" s="80"/>
      <c r="X160" s="88">
        <f t="shared" si="63"/>
        <v>309</v>
      </c>
      <c r="Y160" s="88">
        <v>2</v>
      </c>
      <c r="AA160" s="88" t="str">
        <f t="shared" ca="1" si="61"/>
        <v>153</v>
      </c>
      <c r="AB160" s="90" t="str">
        <f t="shared" ca="1" si="60"/>
        <v>Q_CH25</v>
      </c>
      <c r="AC160" s="91" t="str">
        <f t="shared" ca="1" si="59"/>
        <v>0</v>
      </c>
      <c r="AD160" s="92" t="s">
        <v>21</v>
      </c>
      <c r="AE160" s="92">
        <f t="shared" ca="1" si="64"/>
        <v>0</v>
      </c>
      <c r="AF160" s="80"/>
    </row>
    <row r="161" spans="1:32">
      <c r="A161" s="79" t="str">
        <f>'CALIBRATION GUIDE'!B212</f>
        <v>268 PW_OFFSET_Q_18 269 PW_OFFSET_Q_19 270 PW_OFFSET_Q_20 271 PW_OFFSET_Q_21</v>
      </c>
      <c r="D161" s="88">
        <f t="shared" si="62"/>
        <v>103</v>
      </c>
      <c r="E161" s="88">
        <v>3</v>
      </c>
      <c r="G161" s="88" t="str">
        <f t="shared" ca="1" si="54"/>
        <v>154</v>
      </c>
      <c r="H161" s="90" t="str">
        <f t="shared" ca="1" si="55"/>
        <v>CAL_M_16</v>
      </c>
      <c r="I161" s="91" t="str">
        <f t="shared" ca="1" si="56"/>
        <v>20000000</v>
      </c>
      <c r="J161" s="92" t="s">
        <v>15</v>
      </c>
      <c r="K161" s="92">
        <f t="shared" ca="1" si="57"/>
        <v>1</v>
      </c>
      <c r="L161" s="80"/>
      <c r="Q161" s="88"/>
      <c r="R161" s="90"/>
      <c r="S161" s="91"/>
      <c r="T161" s="92"/>
      <c r="U161" s="92"/>
      <c r="V161" s="80"/>
      <c r="X161" s="88">
        <f t="shared" si="63"/>
        <v>309</v>
      </c>
      <c r="Y161" s="88">
        <v>3</v>
      </c>
      <c r="AA161" s="88" t="str">
        <f t="shared" ca="1" si="61"/>
        <v>154</v>
      </c>
      <c r="AB161" s="90" t="str">
        <f t="shared" ca="1" si="60"/>
        <v>Q_CH26</v>
      </c>
      <c r="AC161" s="91" t="str">
        <f t="shared" ca="1" si="59"/>
        <v>0</v>
      </c>
      <c r="AD161" s="92" t="s">
        <v>21</v>
      </c>
      <c r="AE161" s="92">
        <f t="shared" ca="1" si="64"/>
        <v>0</v>
      </c>
      <c r="AF161" s="80"/>
    </row>
    <row r="162" spans="1:32">
      <c r="A162" s="79" t="str">
        <f>'CALIBRATION GUIDE'!B213</f>
        <v>0                  0                  0                  0</v>
      </c>
      <c r="D162" s="88">
        <f t="shared" si="62"/>
        <v>103</v>
      </c>
      <c r="E162" s="88">
        <v>4</v>
      </c>
      <c r="G162" s="88" t="str">
        <f t="shared" ca="1" si="54"/>
        <v>155</v>
      </c>
      <c r="H162" s="90" t="str">
        <f t="shared" ca="1" si="55"/>
        <v>CAL_M_17</v>
      </c>
      <c r="I162" s="91" t="str">
        <f t="shared" ca="1" si="56"/>
        <v>20000000</v>
      </c>
      <c r="J162" s="92" t="s">
        <v>15</v>
      </c>
      <c r="K162" s="92">
        <f t="shared" ca="1" si="57"/>
        <v>1</v>
      </c>
      <c r="L162" s="80"/>
      <c r="Q162" s="88"/>
      <c r="R162" s="90"/>
      <c r="S162" s="91"/>
      <c r="T162" s="92"/>
      <c r="U162" s="92"/>
      <c r="V162" s="80"/>
      <c r="X162" s="88">
        <f t="shared" si="63"/>
        <v>309</v>
      </c>
      <c r="Y162" s="88">
        <v>4</v>
      </c>
      <c r="AA162" s="88" t="str">
        <f t="shared" ca="1" si="61"/>
        <v>155</v>
      </c>
      <c r="AB162" s="90" t="str">
        <f t="shared" ca="1" si="60"/>
        <v>Q_CH27</v>
      </c>
      <c r="AC162" s="91" t="str">
        <f t="shared" ca="1" si="59"/>
        <v>0</v>
      </c>
      <c r="AD162" s="92" t="s">
        <v>21</v>
      </c>
      <c r="AE162" s="92">
        <f t="shared" ca="1" si="64"/>
        <v>0</v>
      </c>
      <c r="AF162" s="80"/>
    </row>
    <row r="163" spans="1:32">
      <c r="A163" s="79" t="str">
        <f>'CALIBRATION GUIDE'!B214</f>
        <v>272 PW_OFFSET_Q_22 273 PW_OFFSET_Q_23 274 PW_OFFSET_Q_24 275 PW_OFFSET_Q_25</v>
      </c>
      <c r="D163" s="88">
        <f t="shared" si="62"/>
        <v>105</v>
      </c>
      <c r="E163" s="88">
        <v>1</v>
      </c>
      <c r="G163" s="88" t="str">
        <f t="shared" ca="1" si="54"/>
        <v>156</v>
      </c>
      <c r="H163" s="90" t="str">
        <f t="shared" ca="1" si="55"/>
        <v>CAL_M_18</v>
      </c>
      <c r="I163" s="91" t="str">
        <f t="shared" ca="1" si="56"/>
        <v>20000000</v>
      </c>
      <c r="J163" s="92" t="s">
        <v>15</v>
      </c>
      <c r="K163" s="92">
        <f t="shared" ca="1" si="57"/>
        <v>1</v>
      </c>
      <c r="L163" s="80"/>
      <c r="Q163" s="88"/>
      <c r="R163" s="90"/>
      <c r="S163" s="91"/>
      <c r="T163" s="92"/>
      <c r="U163" s="92"/>
      <c r="V163" s="80"/>
      <c r="X163" s="88">
        <f t="shared" si="63"/>
        <v>311</v>
      </c>
      <c r="Y163" s="88">
        <v>1</v>
      </c>
      <c r="AA163" s="88" t="str">
        <f t="shared" ca="1" si="61"/>
        <v>156</v>
      </c>
      <c r="AB163" s="90" t="str">
        <f t="shared" ca="1" si="60"/>
        <v>Q_CH28</v>
      </c>
      <c r="AC163" s="91" t="str">
        <f t="shared" ca="1" si="59"/>
        <v>0</v>
      </c>
      <c r="AD163" s="92" t="s">
        <v>21</v>
      </c>
      <c r="AE163" s="92">
        <f t="shared" ca="1" si="64"/>
        <v>0</v>
      </c>
      <c r="AF163" s="80"/>
    </row>
    <row r="164" spans="1:32">
      <c r="A164" s="79" t="str">
        <f>'CALIBRATION GUIDE'!B215</f>
        <v>0                  0                  0                  0</v>
      </c>
      <c r="D164" s="88">
        <f t="shared" si="62"/>
        <v>105</v>
      </c>
      <c r="E164" s="88">
        <v>2</v>
      </c>
      <c r="G164" s="88" t="str">
        <f t="shared" ca="1" si="54"/>
        <v>157</v>
      </c>
      <c r="H164" s="90" t="str">
        <f t="shared" ca="1" si="55"/>
        <v>CAL_M_19</v>
      </c>
      <c r="I164" s="91" t="str">
        <f t="shared" ca="1" si="56"/>
        <v>20000000</v>
      </c>
      <c r="J164" s="92" t="s">
        <v>15</v>
      </c>
      <c r="K164" s="92">
        <f t="shared" ca="1" si="57"/>
        <v>1</v>
      </c>
      <c r="L164" s="80"/>
      <c r="Q164" s="88"/>
      <c r="R164" s="90"/>
      <c r="S164" s="91"/>
      <c r="T164" s="92"/>
      <c r="U164" s="92"/>
      <c r="V164" s="80"/>
      <c r="X164" s="88">
        <f t="shared" si="63"/>
        <v>311</v>
      </c>
      <c r="Y164" s="88">
        <v>2</v>
      </c>
      <c r="AA164" s="88" t="str">
        <f t="shared" ca="1" si="61"/>
        <v>157</v>
      </c>
      <c r="AB164" s="90" t="str">
        <f t="shared" ca="1" si="60"/>
        <v>Q_CH29</v>
      </c>
      <c r="AC164" s="91" t="str">
        <f t="shared" ca="1" si="59"/>
        <v>0</v>
      </c>
      <c r="AD164" s="92" t="s">
        <v>21</v>
      </c>
      <c r="AE164" s="92">
        <f t="shared" ca="1" si="64"/>
        <v>0</v>
      </c>
      <c r="AF164" s="80"/>
    </row>
    <row r="165" spans="1:32">
      <c r="A165" s="79" t="str">
        <f>'CALIBRATION GUIDE'!B216</f>
        <v>276 PW_OFFSET_Q_26 277 PW_OFFSET_Q_27 278 PW_OFFSET_Q_28 279 PW_OFFSET_Q_29</v>
      </c>
      <c r="D165" s="88">
        <f t="shared" si="62"/>
        <v>105</v>
      </c>
      <c r="E165" s="88">
        <v>3</v>
      </c>
      <c r="G165" s="88" t="str">
        <f t="shared" ca="1" si="54"/>
        <v>158</v>
      </c>
      <c r="H165" s="90" t="str">
        <f t="shared" ca="1" si="55"/>
        <v>CAL_M_20</v>
      </c>
      <c r="I165" s="91" t="str">
        <f t="shared" ca="1" si="56"/>
        <v>20000000</v>
      </c>
      <c r="J165" s="92" t="s">
        <v>15</v>
      </c>
      <c r="K165" s="92">
        <f t="shared" ca="1" si="57"/>
        <v>1</v>
      </c>
      <c r="L165" s="80"/>
      <c r="Q165" s="88"/>
      <c r="R165" s="90"/>
      <c r="S165" s="91"/>
      <c r="T165" s="92"/>
      <c r="U165" s="92"/>
      <c r="V165" s="80"/>
      <c r="X165" s="88">
        <f t="shared" si="63"/>
        <v>311</v>
      </c>
      <c r="Y165" s="88">
        <v>3</v>
      </c>
      <c r="AA165" s="88" t="str">
        <f t="shared" ca="1" si="61"/>
        <v>158</v>
      </c>
      <c r="AB165" s="90" t="str">
        <f t="shared" ca="1" si="60"/>
        <v>Q_CH30</v>
      </c>
      <c r="AC165" s="91" t="str">
        <f t="shared" ca="1" si="59"/>
        <v>0</v>
      </c>
      <c r="AD165" s="92" t="s">
        <v>21</v>
      </c>
      <c r="AE165" s="92">
        <f t="shared" ca="1" si="64"/>
        <v>0</v>
      </c>
      <c r="AF165" s="80"/>
    </row>
    <row r="166" spans="1:32">
      <c r="A166" s="79" t="str">
        <f>'CALIBRATION GUIDE'!B217</f>
        <v>0                  0                  0                  0</v>
      </c>
      <c r="D166" s="88">
        <f t="shared" si="62"/>
        <v>105</v>
      </c>
      <c r="E166" s="88">
        <v>4</v>
      </c>
      <c r="G166" s="88" t="str">
        <f t="shared" ca="1" si="54"/>
        <v>159</v>
      </c>
      <c r="H166" s="90" t="str">
        <f t="shared" ca="1" si="55"/>
        <v>CAL_M_21</v>
      </c>
      <c r="I166" s="91" t="str">
        <f t="shared" ca="1" si="56"/>
        <v>20000000</v>
      </c>
      <c r="J166" s="92" t="s">
        <v>15</v>
      </c>
      <c r="K166" s="92">
        <f t="shared" ca="1" si="57"/>
        <v>1</v>
      </c>
      <c r="Q166" s="88"/>
      <c r="R166" s="90"/>
      <c r="S166" s="91"/>
      <c r="T166" s="92"/>
      <c r="U166" s="92"/>
      <c r="X166" s="88">
        <f t="shared" si="63"/>
        <v>311</v>
      </c>
      <c r="Y166" s="88">
        <v>4</v>
      </c>
      <c r="AA166" s="88" t="str">
        <f t="shared" ca="1" si="61"/>
        <v>159</v>
      </c>
      <c r="AB166" s="90" t="str">
        <f t="shared" ca="1" si="60"/>
        <v>RESERVED_A159</v>
      </c>
      <c r="AC166" s="91" t="str">
        <f t="shared" ca="1" si="59"/>
        <v>0</v>
      </c>
      <c r="AD166" s="92" t="s">
        <v>15</v>
      </c>
      <c r="AE166" s="92">
        <f t="shared" ca="1" si="64"/>
        <v>0</v>
      </c>
    </row>
    <row r="167" spans="1:32">
      <c r="A167" s="79" t="str">
        <f>'CALIBRATION GUIDE'!B218</f>
        <v>280 PW_OFFSET_Q_30 281 RESERVED_C281</v>
      </c>
      <c r="D167" s="88">
        <f t="shared" si="62"/>
        <v>107</v>
      </c>
      <c r="E167" s="88">
        <v>1</v>
      </c>
      <c r="G167" s="88" t="str">
        <f t="shared" ca="1" si="54"/>
        <v>160</v>
      </c>
      <c r="H167" s="90" t="str">
        <f t="shared" ca="1" si="55"/>
        <v>CAL_M_22</v>
      </c>
      <c r="I167" s="91" t="str">
        <f t="shared" ca="1" si="56"/>
        <v>20000000</v>
      </c>
      <c r="J167" s="92" t="s">
        <v>15</v>
      </c>
      <c r="K167" s="92">
        <f t="shared" ca="1" si="57"/>
        <v>1</v>
      </c>
      <c r="Q167" s="88"/>
      <c r="R167" s="90"/>
      <c r="S167" s="91"/>
      <c r="T167" s="92"/>
      <c r="U167" s="92"/>
      <c r="X167" s="88">
        <f t="shared" si="63"/>
        <v>313</v>
      </c>
      <c r="Y167" s="88">
        <v>1</v>
      </c>
      <c r="AA167" s="88" t="str">
        <f t="shared" ca="1" si="61"/>
        <v>160</v>
      </c>
      <c r="AB167" s="90" t="str">
        <f t="shared" ca="1" si="60"/>
        <v>Q_CH0_F</v>
      </c>
      <c r="AC167" s="91" t="str">
        <f t="shared" ca="1" si="59"/>
        <v>165E0D2E9076</v>
      </c>
      <c r="AD167" s="92" t="s">
        <v>21</v>
      </c>
      <c r="AE167" s="92">
        <f t="shared" ca="1" si="64"/>
        <v>22.367388639706405</v>
      </c>
    </row>
    <row r="168" spans="1:32">
      <c r="A168" s="79" t="str">
        <f>'CALIBRATION GUIDE'!B219</f>
        <v>0                  0</v>
      </c>
      <c r="D168" s="88">
        <f t="shared" si="62"/>
        <v>107</v>
      </c>
      <c r="E168" s="88">
        <v>2</v>
      </c>
      <c r="G168" s="88" t="str">
        <f t="shared" ref="G168:G231" ca="1" si="65">MID(INDIRECT(ADDRESS(D168,1)),(E168-1)*19+1,3)</f>
        <v>161</v>
      </c>
      <c r="H168" s="90" t="str">
        <f t="shared" ref="H168:H231" ca="1" si="66">TRIM(MID(INDIRECT(ADDRESS(D168,1)),(E168-1)*19+4,16))</f>
        <v>CAL_M_23</v>
      </c>
      <c r="I168" s="91" t="str">
        <f t="shared" ref="I168:I231" ca="1" si="67">TRIM(MID(INDIRECT(ADDRESS(D168+1,1)),(E168-1)*19+1,19))</f>
        <v>20000000</v>
      </c>
      <c r="J168" s="92" t="s">
        <v>15</v>
      </c>
      <c r="K168" s="92">
        <f t="shared" ref="K168:K231" ca="1" si="68">HEX2DEC(IF(AND(LEN(I168)=8,HEX2DEC(LEFT(I168,1))&gt;7),"FF","00")&amp;I168)/2^(0+MID(J168,FIND(".",J168)+1,2))</f>
        <v>1</v>
      </c>
      <c r="Q168" s="88"/>
      <c r="R168" s="90"/>
      <c r="S168" s="91"/>
      <c r="T168" s="92"/>
      <c r="U168" s="92"/>
      <c r="X168" s="88">
        <f t="shared" si="63"/>
        <v>313</v>
      </c>
      <c r="Y168" s="88">
        <v>2</v>
      </c>
      <c r="AA168" s="88" t="str">
        <f t="shared" ca="1" si="61"/>
        <v>161</v>
      </c>
      <c r="AB168" s="90" t="str">
        <f t="shared" ca="1" si="60"/>
        <v>Q_CH1_F</v>
      </c>
      <c r="AC168" s="91" t="str">
        <f t="shared" ca="1" si="59"/>
        <v>164EC6A16342</v>
      </c>
      <c r="AD168" s="92" t="s">
        <v>21</v>
      </c>
      <c r="AE168" s="92">
        <f t="shared" ca="1" si="64"/>
        <v>22.307718359692444</v>
      </c>
    </row>
    <row r="169" spans="1:32">
      <c r="A169" s="25" t="str">
        <f>'CALIBRATION GUIDE'!B221</f>
        <v>DSR</v>
      </c>
      <c r="D169" s="88">
        <f t="shared" si="62"/>
        <v>107</v>
      </c>
      <c r="E169" s="88">
        <v>3</v>
      </c>
      <c r="G169" s="88" t="str">
        <f t="shared" ca="1" si="65"/>
        <v>162</v>
      </c>
      <c r="H169" s="90" t="str">
        <f t="shared" ca="1" si="66"/>
        <v>CAL_M_24</v>
      </c>
      <c r="I169" s="91" t="str">
        <f t="shared" ca="1" si="67"/>
        <v>20000000</v>
      </c>
      <c r="J169" s="92" t="s">
        <v>15</v>
      </c>
      <c r="K169" s="92">
        <f t="shared" ca="1" si="68"/>
        <v>1</v>
      </c>
      <c r="Q169" s="88"/>
      <c r="R169" s="90"/>
      <c r="S169" s="91"/>
      <c r="T169" s="92"/>
      <c r="U169" s="92"/>
      <c r="X169" s="88">
        <f t="shared" si="63"/>
        <v>313</v>
      </c>
      <c r="Y169" s="88">
        <v>3</v>
      </c>
      <c r="AA169" s="88" t="str">
        <f t="shared" ca="1" si="61"/>
        <v>162</v>
      </c>
      <c r="AB169" s="90" t="str">
        <f t="shared" ca="1" si="60"/>
        <v>Q_CH2_F</v>
      </c>
      <c r="AC169" s="91" t="str">
        <f t="shared" ca="1" si="59"/>
        <v>164F864986FF</v>
      </c>
      <c r="AD169" s="92" t="s">
        <v>21</v>
      </c>
      <c r="AE169" s="92">
        <f t="shared" ca="1" si="64"/>
        <v>22.310642810304671</v>
      </c>
    </row>
    <row r="170" spans="1:32">
      <c r="A170" s="79" t="str">
        <f>'CALIBRATION GUIDE'!B222</f>
        <v>000 VERSION        001 STATUS         002 STATE_FLAG     003 SWELL_OV_FLAG</v>
      </c>
      <c r="D170" s="88">
        <f t="shared" si="62"/>
        <v>107</v>
      </c>
      <c r="E170" s="88">
        <v>4</v>
      </c>
      <c r="G170" s="88" t="str">
        <f t="shared" ca="1" si="65"/>
        <v>163</v>
      </c>
      <c r="H170" s="90" t="str">
        <f t="shared" ca="1" si="66"/>
        <v>CAL_M_25</v>
      </c>
      <c r="I170" s="91" t="str">
        <f t="shared" ca="1" si="67"/>
        <v>20000000</v>
      </c>
      <c r="J170" s="92" t="s">
        <v>15</v>
      </c>
      <c r="K170" s="92">
        <f t="shared" ca="1" si="68"/>
        <v>1</v>
      </c>
      <c r="Q170" s="88"/>
      <c r="R170" s="90"/>
      <c r="S170" s="91"/>
      <c r="T170" s="92"/>
      <c r="U170" s="92"/>
      <c r="X170" s="88">
        <f t="shared" si="63"/>
        <v>313</v>
      </c>
      <c r="Y170" s="88">
        <v>4</v>
      </c>
      <c r="AA170" s="88" t="str">
        <f t="shared" ca="1" si="61"/>
        <v>163</v>
      </c>
      <c r="AB170" s="90" t="str">
        <f t="shared" ca="1" si="60"/>
        <v>Q_CH3_F</v>
      </c>
      <c r="AC170" s="91" t="str">
        <f t="shared" ca="1" si="59"/>
        <v>0</v>
      </c>
      <c r="AD170" s="92" t="s">
        <v>21</v>
      </c>
      <c r="AE170" s="92">
        <f t="shared" ca="1" si="64"/>
        <v>0</v>
      </c>
    </row>
    <row r="171" spans="1:32">
      <c r="A171" s="79" t="str">
        <f>'CALIBRATION GUIDE'!B223</f>
        <v>40000              8                  20                 5</v>
      </c>
      <c r="D171" s="88">
        <f t="shared" si="62"/>
        <v>109</v>
      </c>
      <c r="E171" s="88">
        <v>1</v>
      </c>
      <c r="G171" s="88" t="str">
        <f t="shared" ca="1" si="65"/>
        <v>164</v>
      </c>
      <c r="H171" s="90" t="str">
        <f t="shared" ca="1" si="66"/>
        <v>CAL_M_26</v>
      </c>
      <c r="I171" s="91" t="str">
        <f t="shared" ca="1" si="67"/>
        <v>20000000</v>
      </c>
      <c r="J171" s="92" t="s">
        <v>15</v>
      </c>
      <c r="K171" s="92">
        <f t="shared" ca="1" si="68"/>
        <v>1</v>
      </c>
      <c r="Q171" s="88"/>
      <c r="R171" s="90"/>
      <c r="S171" s="91"/>
      <c r="T171" s="92"/>
      <c r="U171" s="92"/>
      <c r="X171" s="88">
        <f t="shared" si="63"/>
        <v>315</v>
      </c>
      <c r="Y171" s="88">
        <v>1</v>
      </c>
      <c r="AA171" s="88" t="str">
        <f t="shared" ca="1" si="61"/>
        <v>164</v>
      </c>
      <c r="AB171" s="90" t="str">
        <f t="shared" ca="1" si="60"/>
        <v>Q_CH4_F</v>
      </c>
      <c r="AC171" s="91" t="str">
        <f t="shared" ca="1" si="59"/>
        <v>0</v>
      </c>
      <c r="AD171" s="92" t="s">
        <v>21</v>
      </c>
      <c r="AE171" s="92">
        <f t="shared" ca="1" si="64"/>
        <v>0</v>
      </c>
    </row>
    <row r="172" spans="1:32">
      <c r="A172" s="79" t="str">
        <f>'CALIBRATION GUIDE'!B224</f>
        <v>004 SAG_FLAG       005 CREEP_FLAG     006 PH_ACTIVE_FLAG 007 CAPTURE_STATUS</v>
      </c>
      <c r="D172" s="88">
        <f t="shared" si="62"/>
        <v>109</v>
      </c>
      <c r="E172" s="88">
        <v>2</v>
      </c>
      <c r="G172" s="88" t="str">
        <f t="shared" ca="1" si="65"/>
        <v>165</v>
      </c>
      <c r="H172" s="90" t="str">
        <f t="shared" ca="1" si="66"/>
        <v>CAL_M_27</v>
      </c>
      <c r="I172" s="91" t="str">
        <f t="shared" ca="1" si="67"/>
        <v>20000000</v>
      </c>
      <c r="J172" s="92" t="s">
        <v>15</v>
      </c>
      <c r="K172" s="92">
        <f t="shared" ca="1" si="68"/>
        <v>1</v>
      </c>
      <c r="Q172" s="88"/>
      <c r="R172" s="90"/>
      <c r="S172" s="91"/>
      <c r="T172" s="92"/>
      <c r="U172" s="92"/>
      <c r="X172" s="88">
        <f t="shared" si="63"/>
        <v>315</v>
      </c>
      <c r="Y172" s="88">
        <v>2</v>
      </c>
      <c r="AA172" s="88" t="str">
        <f t="shared" ca="1" si="61"/>
        <v>165</v>
      </c>
      <c r="AB172" s="90" t="str">
        <f t="shared" ca="1" si="60"/>
        <v>Q_CH5_F</v>
      </c>
      <c r="AC172" s="91" t="str">
        <f t="shared" ca="1" si="59"/>
        <v>0</v>
      </c>
      <c r="AD172" s="92" t="s">
        <v>21</v>
      </c>
      <c r="AE172" s="92">
        <f t="shared" ca="1" si="64"/>
        <v>0</v>
      </c>
    </row>
    <row r="173" spans="1:32">
      <c r="A173" s="79" t="str">
        <f>'CALIBRATION GUIDE'!B225</f>
        <v>80                 0                  7                  0</v>
      </c>
      <c r="D173" s="88">
        <f t="shared" si="62"/>
        <v>109</v>
      </c>
      <c r="E173" s="88">
        <v>3</v>
      </c>
      <c r="G173" s="88" t="str">
        <f t="shared" ca="1" si="65"/>
        <v>166</v>
      </c>
      <c r="H173" s="90" t="str">
        <f t="shared" ca="1" si="66"/>
        <v>CAL_M_28</v>
      </c>
      <c r="I173" s="91" t="str">
        <f t="shared" ca="1" si="67"/>
        <v>20000000</v>
      </c>
      <c r="J173" s="92" t="s">
        <v>15</v>
      </c>
      <c r="K173" s="92">
        <f t="shared" ca="1" si="68"/>
        <v>1</v>
      </c>
      <c r="Q173" s="88"/>
      <c r="R173" s="90"/>
      <c r="S173" s="91"/>
      <c r="T173" s="92"/>
      <c r="U173" s="92"/>
      <c r="X173" s="88">
        <f t="shared" si="63"/>
        <v>315</v>
      </c>
      <c r="Y173" s="88">
        <v>3</v>
      </c>
      <c r="AA173" s="88" t="str">
        <f t="shared" ca="1" si="61"/>
        <v>166</v>
      </c>
      <c r="AB173" s="90" t="str">
        <f t="shared" ca="1" si="60"/>
        <v>Q_CH6_F</v>
      </c>
      <c r="AC173" s="91" t="str">
        <f t="shared" ca="1" si="59"/>
        <v>0</v>
      </c>
      <c r="AD173" s="92" t="s">
        <v>21</v>
      </c>
      <c r="AE173" s="92">
        <f t="shared" ca="1" si="64"/>
        <v>0</v>
      </c>
    </row>
    <row r="174" spans="1:32">
      <c r="A174" s="79" t="str">
        <f>'CALIBRATION GUIDE'!B226</f>
        <v>008 INTERVAL_NUM   009 N              010 PH_OFFSET      011 FREQ</v>
      </c>
      <c r="D174" s="88">
        <f t="shared" si="62"/>
        <v>109</v>
      </c>
      <c r="E174" s="88">
        <v>4</v>
      </c>
      <c r="G174" s="88" t="str">
        <f t="shared" ca="1" si="65"/>
        <v>167</v>
      </c>
      <c r="H174" s="90" t="str">
        <f t="shared" ca="1" si="66"/>
        <v>CAL_M_29</v>
      </c>
      <c r="I174" s="91" t="str">
        <f t="shared" ca="1" si="67"/>
        <v>20000000</v>
      </c>
      <c r="J174" s="92" t="s">
        <v>15</v>
      </c>
      <c r="K174" s="92">
        <f t="shared" ca="1" si="68"/>
        <v>1</v>
      </c>
      <c r="Q174" s="88"/>
      <c r="R174" s="90"/>
      <c r="S174" s="91"/>
      <c r="T174" s="92"/>
      <c r="U174" s="92"/>
      <c r="X174" s="88">
        <f t="shared" si="63"/>
        <v>315</v>
      </c>
      <c r="Y174" s="88">
        <v>4</v>
      </c>
      <c r="AA174" s="88" t="str">
        <f t="shared" ca="1" si="61"/>
        <v>167</v>
      </c>
      <c r="AB174" s="90" t="str">
        <f t="shared" ca="1" si="60"/>
        <v>Q_CH7_F</v>
      </c>
      <c r="AC174" s="91" t="str">
        <f t="shared" ca="1" si="59"/>
        <v>0</v>
      </c>
      <c r="AD174" s="92" t="s">
        <v>21</v>
      </c>
      <c r="AE174" s="92">
        <f t="shared" ca="1" si="64"/>
        <v>0</v>
      </c>
    </row>
    <row r="175" spans="1:32">
      <c r="A175" s="79" t="str">
        <f>'CALIBRATION GUIDE'!B227</f>
        <v>3D60015            FA0                FF0A3D71           31FFE</v>
      </c>
      <c r="D175" s="88">
        <f t="shared" si="62"/>
        <v>111</v>
      </c>
      <c r="E175" s="88">
        <v>1</v>
      </c>
      <c r="G175" s="88" t="str">
        <f t="shared" ca="1" si="65"/>
        <v>168</v>
      </c>
      <c r="H175" s="90" t="str">
        <f t="shared" ca="1" si="66"/>
        <v>CAL_M_30</v>
      </c>
      <c r="I175" s="91" t="str">
        <f t="shared" ca="1" si="67"/>
        <v>20000000</v>
      </c>
      <c r="J175" s="92" t="s">
        <v>15</v>
      </c>
      <c r="K175" s="92">
        <f t="shared" ca="1" si="68"/>
        <v>1</v>
      </c>
      <c r="Q175" s="88"/>
      <c r="R175" s="90"/>
      <c r="S175" s="91"/>
      <c r="T175" s="92"/>
      <c r="U175" s="92"/>
      <c r="X175" s="88">
        <f t="shared" si="63"/>
        <v>317</v>
      </c>
      <c r="Y175" s="88">
        <v>1</v>
      </c>
      <c r="AA175" s="88" t="str">
        <f t="shared" ca="1" si="61"/>
        <v>168</v>
      </c>
      <c r="AB175" s="90" t="str">
        <f t="shared" ca="1" si="60"/>
        <v>Q_CH8_F</v>
      </c>
      <c r="AC175" s="91" t="str">
        <f t="shared" ca="1" si="59"/>
        <v>0</v>
      </c>
      <c r="AD175" s="92" t="s">
        <v>21</v>
      </c>
      <c r="AE175" s="92">
        <f t="shared" ca="1" si="64"/>
        <v>0</v>
      </c>
    </row>
    <row r="176" spans="1:32">
      <c r="A176" s="79" t="str">
        <f>'CALIBRATION GUIDE'!B228</f>
        <v>012 FREQ_CH0       013 FREQ_CH1       014 FREQ_CH2       015 FREQ_CH3</v>
      </c>
      <c r="D176" s="88">
        <f t="shared" si="62"/>
        <v>111</v>
      </c>
      <c r="E176" s="88">
        <v>2</v>
      </c>
      <c r="G176" s="88" t="str">
        <f t="shared" ca="1" si="65"/>
        <v>169</v>
      </c>
      <c r="H176" s="90" t="str">
        <f t="shared" ca="1" si="66"/>
        <v>CAL_M_31</v>
      </c>
      <c r="I176" s="91" t="str">
        <f t="shared" ca="1" si="67"/>
        <v>20000000</v>
      </c>
      <c r="J176" s="92" t="s">
        <v>15</v>
      </c>
      <c r="K176" s="92">
        <f t="shared" ca="1" si="68"/>
        <v>1</v>
      </c>
      <c r="Q176" s="88"/>
      <c r="R176" s="90"/>
      <c r="S176" s="91"/>
      <c r="T176" s="92"/>
      <c r="U176" s="92"/>
      <c r="X176" s="88">
        <f t="shared" si="63"/>
        <v>317</v>
      </c>
      <c r="Y176" s="88">
        <v>2</v>
      </c>
      <c r="AA176" s="88" t="str">
        <f t="shared" ca="1" si="61"/>
        <v>169</v>
      </c>
      <c r="AB176" s="90" t="str">
        <f t="shared" ca="1" si="60"/>
        <v>Q_CH9_F</v>
      </c>
      <c r="AC176" s="91" t="str">
        <f t="shared" ref="AC176:AC222" ca="1" si="69">TRIM(MID(INDIRECT(ADDRESS(X176+1,1)),(Y176-1)*19+1,19))</f>
        <v>0</v>
      </c>
      <c r="AD176" s="92" t="s">
        <v>21</v>
      </c>
      <c r="AE176" s="92">
        <f t="shared" ca="1" si="64"/>
        <v>0</v>
      </c>
    </row>
    <row r="177" spans="1:32">
      <c r="A177" s="79" t="str">
        <f>'CALIBRATION GUIDE'!B229</f>
        <v>31FFE              31FFE              31FFE              0</v>
      </c>
      <c r="D177" s="88">
        <f t="shared" si="62"/>
        <v>111</v>
      </c>
      <c r="E177" s="88">
        <v>3</v>
      </c>
      <c r="G177" s="88" t="str">
        <f t="shared" ca="1" si="65"/>
        <v>170</v>
      </c>
      <c r="H177" s="90" t="str">
        <f t="shared" ca="1" si="66"/>
        <v>CAL_PH_00</v>
      </c>
      <c r="I177" s="91" t="str">
        <f t="shared" ca="1" si="67"/>
        <v>0</v>
      </c>
      <c r="J177" s="92" t="s">
        <v>17</v>
      </c>
      <c r="K177" s="92">
        <f t="shared" ca="1" si="68"/>
        <v>0</v>
      </c>
      <c r="L177" s="94">
        <f ca="1">K177*180</f>
        <v>0</v>
      </c>
      <c r="Q177" s="88"/>
      <c r="R177" s="90"/>
      <c r="S177" s="91"/>
      <c r="T177" s="92"/>
      <c r="U177" s="92"/>
      <c r="V177" s="94"/>
      <c r="X177" s="88">
        <f t="shared" si="63"/>
        <v>317</v>
      </c>
      <c r="Y177" s="88">
        <v>3</v>
      </c>
      <c r="AA177" s="88" t="str">
        <f t="shared" ca="1" si="61"/>
        <v>170</v>
      </c>
      <c r="AB177" s="90" t="str">
        <f t="shared" ca="1" si="60"/>
        <v>Q_CH10_F</v>
      </c>
      <c r="AC177" s="91" t="str">
        <f t="shared" ca="1" si="69"/>
        <v>0</v>
      </c>
      <c r="AD177" s="92" t="s">
        <v>21</v>
      </c>
      <c r="AE177" s="92">
        <f t="shared" ca="1" si="64"/>
        <v>0</v>
      </c>
      <c r="AF177" s="94"/>
    </row>
    <row r="178" spans="1:32">
      <c r="A178" s="79" t="str">
        <f>'CALIBRATION GUIDE'!B230</f>
        <v>016 FREQ_CH4       017 FREQ_CH5       018 FREQ_CH6       019 FREQ_CH7</v>
      </c>
      <c r="D178" s="88">
        <f t="shared" si="62"/>
        <v>111</v>
      </c>
      <c r="E178" s="88">
        <v>4</v>
      </c>
      <c r="G178" s="88" t="str">
        <f t="shared" ca="1" si="65"/>
        <v>171</v>
      </c>
      <c r="H178" s="90" t="str">
        <f t="shared" ca="1" si="66"/>
        <v>CAL_PH_01</v>
      </c>
      <c r="I178" s="91" t="str">
        <f t="shared" ca="1" si="67"/>
        <v>0</v>
      </c>
      <c r="J178" s="92" t="s">
        <v>17</v>
      </c>
      <c r="K178" s="92">
        <f t="shared" ca="1" si="68"/>
        <v>0</v>
      </c>
      <c r="L178" s="94">
        <f t="shared" ref="L178:L208" ca="1" si="70">K178*180</f>
        <v>0</v>
      </c>
      <c r="Q178" s="88"/>
      <c r="R178" s="90"/>
      <c r="S178" s="91"/>
      <c r="T178" s="92"/>
      <c r="U178" s="92"/>
      <c r="V178" s="94"/>
      <c r="X178" s="88">
        <f t="shared" si="63"/>
        <v>317</v>
      </c>
      <c r="Y178" s="88">
        <v>4</v>
      </c>
      <c r="AA178" s="88" t="str">
        <f t="shared" ca="1" si="61"/>
        <v>171</v>
      </c>
      <c r="AB178" s="90" t="str">
        <f t="shared" ca="1" si="60"/>
        <v>Q_CH11_F</v>
      </c>
      <c r="AC178" s="91" t="str">
        <f t="shared" ca="1" si="69"/>
        <v>0</v>
      </c>
      <c r="AD178" s="92" t="s">
        <v>21</v>
      </c>
      <c r="AE178" s="92">
        <f t="shared" ca="1" si="64"/>
        <v>0</v>
      </c>
      <c r="AF178" s="94"/>
    </row>
    <row r="179" spans="1:32">
      <c r="A179" s="79" t="str">
        <f>'CALIBRATION GUIDE'!B231</f>
        <v>0                  0                  0                  36811</v>
      </c>
      <c r="D179" s="88">
        <f t="shared" si="62"/>
        <v>113</v>
      </c>
      <c r="E179" s="88">
        <v>1</v>
      </c>
      <c r="G179" s="88" t="str">
        <f t="shared" ca="1" si="65"/>
        <v>172</v>
      </c>
      <c r="H179" s="90" t="str">
        <f t="shared" ca="1" si="66"/>
        <v>CAL_PH_02</v>
      </c>
      <c r="I179" s="91" t="str">
        <f t="shared" ca="1" si="67"/>
        <v>0</v>
      </c>
      <c r="J179" s="92" t="s">
        <v>17</v>
      </c>
      <c r="K179" s="92">
        <f t="shared" ca="1" si="68"/>
        <v>0</v>
      </c>
      <c r="L179" s="94">
        <f t="shared" ca="1" si="70"/>
        <v>0</v>
      </c>
      <c r="Q179" s="88"/>
      <c r="R179" s="90"/>
      <c r="S179" s="91"/>
      <c r="T179" s="92"/>
      <c r="U179" s="92"/>
      <c r="V179" s="94"/>
      <c r="X179" s="88">
        <f t="shared" si="63"/>
        <v>319</v>
      </c>
      <c r="Y179" s="88">
        <v>1</v>
      </c>
      <c r="AA179" s="88" t="str">
        <f t="shared" ca="1" si="61"/>
        <v>172</v>
      </c>
      <c r="AB179" s="90" t="str">
        <f t="shared" ca="1" si="60"/>
        <v>Q_CH12_F</v>
      </c>
      <c r="AC179" s="91" t="str">
        <f t="shared" ca="1" si="69"/>
        <v>0</v>
      </c>
      <c r="AD179" s="92" t="s">
        <v>21</v>
      </c>
      <c r="AE179" s="92">
        <f t="shared" ca="1" si="64"/>
        <v>0</v>
      </c>
      <c r="AF179" s="94"/>
    </row>
    <row r="180" spans="1:32">
      <c r="A180" s="79" t="str">
        <f>'CALIBRATION GUIDE'!B232</f>
        <v>020 FREQ_CH8       021 FREQ_CH9       022 FREQ_CH10      023 FREQ_CH11</v>
      </c>
      <c r="D180" s="88">
        <f t="shared" si="62"/>
        <v>113</v>
      </c>
      <c r="E180" s="88">
        <v>2</v>
      </c>
      <c r="G180" s="88" t="str">
        <f t="shared" ca="1" si="65"/>
        <v>173</v>
      </c>
      <c r="H180" s="90" t="str">
        <f t="shared" ca="1" si="66"/>
        <v>CAL_PH_03</v>
      </c>
      <c r="I180" s="91" t="str">
        <f t="shared" ca="1" si="67"/>
        <v>0</v>
      </c>
      <c r="J180" s="92" t="s">
        <v>17</v>
      </c>
      <c r="K180" s="92">
        <f t="shared" ca="1" si="68"/>
        <v>0</v>
      </c>
      <c r="L180" s="94">
        <f t="shared" ca="1" si="70"/>
        <v>0</v>
      </c>
      <c r="Q180" s="88"/>
      <c r="R180" s="90"/>
      <c r="S180" s="91"/>
      <c r="T180" s="92"/>
      <c r="U180" s="92"/>
      <c r="V180" s="94"/>
      <c r="X180" s="88">
        <f t="shared" si="63"/>
        <v>319</v>
      </c>
      <c r="Y180" s="88">
        <v>2</v>
      </c>
      <c r="AA180" s="88" t="str">
        <f t="shared" ca="1" si="61"/>
        <v>173</v>
      </c>
      <c r="AB180" s="90" t="str">
        <f t="shared" ca="1" si="60"/>
        <v>Q_CH13_F</v>
      </c>
      <c r="AC180" s="91" t="str">
        <f t="shared" ca="1" si="69"/>
        <v>0</v>
      </c>
      <c r="AD180" s="92" t="s">
        <v>21</v>
      </c>
      <c r="AE180" s="92">
        <f t="shared" ca="1" si="64"/>
        <v>0</v>
      </c>
      <c r="AF180" s="94"/>
    </row>
    <row r="181" spans="1:32">
      <c r="A181" s="79" t="str">
        <f>'CALIBRATION GUIDE'!B233</f>
        <v>0                  0                  0                  0</v>
      </c>
      <c r="D181" s="88">
        <f t="shared" si="62"/>
        <v>113</v>
      </c>
      <c r="E181" s="88">
        <v>3</v>
      </c>
      <c r="G181" s="88" t="str">
        <f t="shared" ca="1" si="65"/>
        <v>174</v>
      </c>
      <c r="H181" s="90" t="str">
        <f t="shared" ca="1" si="66"/>
        <v>CAL_PH_04</v>
      </c>
      <c r="I181" s="91" t="str">
        <f t="shared" ca="1" si="67"/>
        <v>0</v>
      </c>
      <c r="J181" s="92" t="s">
        <v>17</v>
      </c>
      <c r="K181" s="92">
        <f t="shared" ca="1" si="68"/>
        <v>0</v>
      </c>
      <c r="L181" s="94">
        <f t="shared" ca="1" si="70"/>
        <v>0</v>
      </c>
      <c r="Q181" s="88"/>
      <c r="R181" s="90"/>
      <c r="S181" s="91"/>
      <c r="T181" s="92"/>
      <c r="U181" s="92"/>
      <c r="V181" s="94"/>
      <c r="X181" s="88">
        <f t="shared" si="63"/>
        <v>319</v>
      </c>
      <c r="Y181" s="88">
        <v>3</v>
      </c>
      <c r="AA181" s="88" t="str">
        <f t="shared" ca="1" si="61"/>
        <v>174</v>
      </c>
      <c r="AB181" s="90" t="str">
        <f t="shared" ca="1" si="60"/>
        <v>Q_CH14_F</v>
      </c>
      <c r="AC181" s="91" t="str">
        <f t="shared" ca="1" si="69"/>
        <v>0</v>
      </c>
      <c r="AD181" s="92" t="s">
        <v>21</v>
      </c>
      <c r="AE181" s="92">
        <f t="shared" ca="1" si="64"/>
        <v>0</v>
      </c>
      <c r="AF181" s="94"/>
    </row>
    <row r="182" spans="1:32">
      <c r="A182" s="79" t="str">
        <f>'CALIBRATION GUIDE'!B234</f>
        <v>024 FREQ_CH12      025 FREQ_CH13      026 FREQ_CH14      027 FREQ_CH15</v>
      </c>
      <c r="D182" s="88">
        <f t="shared" si="62"/>
        <v>113</v>
      </c>
      <c r="E182" s="88">
        <v>4</v>
      </c>
      <c r="G182" s="88" t="str">
        <f t="shared" ca="1" si="65"/>
        <v>175</v>
      </c>
      <c r="H182" s="90" t="str">
        <f t="shared" ca="1" si="66"/>
        <v>CAL_PH_05</v>
      </c>
      <c r="I182" s="91" t="str">
        <f t="shared" ca="1" si="67"/>
        <v>0</v>
      </c>
      <c r="J182" s="92" t="s">
        <v>17</v>
      </c>
      <c r="K182" s="92">
        <f t="shared" ca="1" si="68"/>
        <v>0</v>
      </c>
      <c r="L182" s="94">
        <f t="shared" ca="1" si="70"/>
        <v>0</v>
      </c>
      <c r="Q182" s="88"/>
      <c r="R182" s="90"/>
      <c r="S182" s="91"/>
      <c r="T182" s="92"/>
      <c r="U182" s="92"/>
      <c r="V182" s="94"/>
      <c r="X182" s="88">
        <f t="shared" si="63"/>
        <v>319</v>
      </c>
      <c r="Y182" s="88">
        <v>4</v>
      </c>
      <c r="AA182" s="88" t="str">
        <f t="shared" ca="1" si="61"/>
        <v>175</v>
      </c>
      <c r="AB182" s="90" t="str">
        <f t="shared" ca="1" si="60"/>
        <v>Q_CH15_F</v>
      </c>
      <c r="AC182" s="91" t="str">
        <f t="shared" ca="1" si="69"/>
        <v>0</v>
      </c>
      <c r="AD182" s="92" t="s">
        <v>21</v>
      </c>
      <c r="AE182" s="92">
        <f t="shared" ca="1" si="64"/>
        <v>0</v>
      </c>
      <c r="AF182" s="94"/>
    </row>
    <row r="183" spans="1:32">
      <c r="A183" s="79" t="str">
        <f>'CALIBRATION GUIDE'!B235</f>
        <v>0                  0                  0                  0</v>
      </c>
      <c r="D183" s="88">
        <f t="shared" si="62"/>
        <v>115</v>
      </c>
      <c r="E183" s="88">
        <v>1</v>
      </c>
      <c r="G183" s="88" t="str">
        <f t="shared" ca="1" si="65"/>
        <v>176</v>
      </c>
      <c r="H183" s="90" t="str">
        <f t="shared" ca="1" si="66"/>
        <v>CAL_PH_06</v>
      </c>
      <c r="I183" s="91" t="str">
        <f t="shared" ca="1" si="67"/>
        <v>0</v>
      </c>
      <c r="J183" s="92" t="s">
        <v>17</v>
      </c>
      <c r="K183" s="92">
        <f t="shared" ca="1" si="68"/>
        <v>0</v>
      </c>
      <c r="L183" s="94">
        <f t="shared" ca="1" si="70"/>
        <v>0</v>
      </c>
      <c r="Q183" s="88"/>
      <c r="R183" s="90"/>
      <c r="S183" s="91"/>
      <c r="T183" s="92"/>
      <c r="U183" s="92"/>
      <c r="V183" s="94"/>
      <c r="X183" s="88">
        <f t="shared" si="63"/>
        <v>321</v>
      </c>
      <c r="Y183" s="88">
        <v>1</v>
      </c>
      <c r="AA183" s="88" t="str">
        <f t="shared" ca="1" si="61"/>
        <v>176</v>
      </c>
      <c r="AB183" s="90" t="str">
        <f t="shared" ca="1" si="60"/>
        <v>Q_CH16_F</v>
      </c>
      <c r="AC183" s="91" t="str">
        <f t="shared" ca="1" si="69"/>
        <v>0</v>
      </c>
      <c r="AD183" s="92" t="s">
        <v>21</v>
      </c>
      <c r="AE183" s="92">
        <f t="shared" ca="1" si="64"/>
        <v>0</v>
      </c>
      <c r="AF183" s="94"/>
    </row>
    <row r="184" spans="1:32">
      <c r="A184" s="79" t="str">
        <f>'CALIBRATION GUIDE'!B236</f>
        <v>028 FREQ_CH16      029 FREQ_CH17      020 FREQ_CH18      031 FREQ_CH19</v>
      </c>
      <c r="D184" s="88">
        <f t="shared" si="62"/>
        <v>115</v>
      </c>
      <c r="E184" s="88">
        <v>2</v>
      </c>
      <c r="G184" s="88" t="str">
        <f t="shared" ca="1" si="65"/>
        <v>177</v>
      </c>
      <c r="H184" s="90" t="str">
        <f t="shared" ca="1" si="66"/>
        <v>CAL_PH_07</v>
      </c>
      <c r="I184" s="91" t="str">
        <f t="shared" ca="1" si="67"/>
        <v>0</v>
      </c>
      <c r="J184" s="92" t="s">
        <v>17</v>
      </c>
      <c r="K184" s="92">
        <f t="shared" ca="1" si="68"/>
        <v>0</v>
      </c>
      <c r="L184" s="94">
        <f t="shared" ca="1" si="70"/>
        <v>0</v>
      </c>
      <c r="Q184" s="88"/>
      <c r="R184" s="90"/>
      <c r="S184" s="91"/>
      <c r="T184" s="92"/>
      <c r="U184" s="92"/>
      <c r="V184" s="94"/>
      <c r="X184" s="88">
        <f t="shared" si="63"/>
        <v>321</v>
      </c>
      <c r="Y184" s="88">
        <v>2</v>
      </c>
      <c r="AA184" s="88" t="str">
        <f t="shared" ca="1" si="61"/>
        <v>177</v>
      </c>
      <c r="AB184" s="90" t="str">
        <f t="shared" ca="1" si="60"/>
        <v>Q_CH17_F</v>
      </c>
      <c r="AC184" s="91" t="str">
        <f t="shared" ca="1" si="69"/>
        <v>0</v>
      </c>
      <c r="AD184" s="92" t="s">
        <v>21</v>
      </c>
      <c r="AE184" s="92">
        <f t="shared" ca="1" si="64"/>
        <v>0</v>
      </c>
      <c r="AF184" s="94"/>
    </row>
    <row r="185" spans="1:32">
      <c r="A185" s="79" t="str">
        <f>'CALIBRATION GUIDE'!B237</f>
        <v>0                  0                  0                  0</v>
      </c>
      <c r="D185" s="88">
        <f t="shared" si="62"/>
        <v>115</v>
      </c>
      <c r="E185" s="88">
        <v>3</v>
      </c>
      <c r="G185" s="88" t="str">
        <f t="shared" ca="1" si="65"/>
        <v>178</v>
      </c>
      <c r="H185" s="90" t="str">
        <f t="shared" ca="1" si="66"/>
        <v>CAL_PH_08</v>
      </c>
      <c r="I185" s="91" t="str">
        <f t="shared" ca="1" si="67"/>
        <v>0</v>
      </c>
      <c r="J185" s="92" t="s">
        <v>17</v>
      </c>
      <c r="K185" s="92">
        <f t="shared" ca="1" si="68"/>
        <v>0</v>
      </c>
      <c r="L185" s="94">
        <f t="shared" ca="1" si="70"/>
        <v>0</v>
      </c>
      <c r="Q185" s="88"/>
      <c r="R185" s="90"/>
      <c r="S185" s="91"/>
      <c r="T185" s="92"/>
      <c r="U185" s="92"/>
      <c r="V185" s="94"/>
      <c r="X185" s="88">
        <f t="shared" si="63"/>
        <v>321</v>
      </c>
      <c r="Y185" s="88">
        <v>3</v>
      </c>
      <c r="AA185" s="88" t="str">
        <f t="shared" ca="1" si="61"/>
        <v>178</v>
      </c>
      <c r="AB185" s="90" t="str">
        <f t="shared" ca="1" si="60"/>
        <v>Q_CH18_F</v>
      </c>
      <c r="AC185" s="91" t="str">
        <f t="shared" ca="1" si="69"/>
        <v>0</v>
      </c>
      <c r="AD185" s="92" t="s">
        <v>21</v>
      </c>
      <c r="AE185" s="92">
        <f t="shared" ca="1" si="64"/>
        <v>0</v>
      </c>
      <c r="AF185" s="94"/>
    </row>
    <row r="186" spans="1:32">
      <c r="A186" s="79" t="str">
        <f>'CALIBRATION GUIDE'!B238</f>
        <v>032 FREQ_CH20      033 FREQ_CH21      034 FREQ_CH22      035 FREQ_CH23</v>
      </c>
      <c r="D186" s="88">
        <f t="shared" si="62"/>
        <v>115</v>
      </c>
      <c r="E186" s="88">
        <v>4</v>
      </c>
      <c r="G186" s="88" t="str">
        <f t="shared" ca="1" si="65"/>
        <v>179</v>
      </c>
      <c r="H186" s="90" t="str">
        <f t="shared" ca="1" si="66"/>
        <v>CAL_PH_09</v>
      </c>
      <c r="I186" s="91" t="str">
        <f t="shared" ca="1" si="67"/>
        <v>0</v>
      </c>
      <c r="J186" s="92" t="s">
        <v>17</v>
      </c>
      <c r="K186" s="92">
        <f t="shared" ca="1" si="68"/>
        <v>0</v>
      </c>
      <c r="L186" s="94">
        <f t="shared" ca="1" si="70"/>
        <v>0</v>
      </c>
      <c r="Q186" s="88"/>
      <c r="R186" s="90"/>
      <c r="S186" s="91"/>
      <c r="T186" s="92"/>
      <c r="U186" s="92"/>
      <c r="V186" s="94"/>
      <c r="X186" s="88">
        <f t="shared" si="63"/>
        <v>321</v>
      </c>
      <c r="Y186" s="88">
        <v>4</v>
      </c>
      <c r="AA186" s="88" t="str">
        <f t="shared" ca="1" si="61"/>
        <v>179</v>
      </c>
      <c r="AB186" s="90" t="str">
        <f t="shared" ca="1" si="60"/>
        <v>Q_CH19_F</v>
      </c>
      <c r="AC186" s="91" t="str">
        <f t="shared" ca="1" si="69"/>
        <v>0</v>
      </c>
      <c r="AD186" s="92" t="s">
        <v>21</v>
      </c>
      <c r="AE186" s="92">
        <f t="shared" ca="1" si="64"/>
        <v>0</v>
      </c>
      <c r="AF186" s="94"/>
    </row>
    <row r="187" spans="1:32">
      <c r="A187" s="79" t="str">
        <f>'CALIBRATION GUIDE'!B239</f>
        <v>0                  0                  0                  0</v>
      </c>
      <c r="D187" s="88">
        <f t="shared" si="62"/>
        <v>117</v>
      </c>
      <c r="E187" s="88">
        <v>1</v>
      </c>
      <c r="G187" s="88" t="str">
        <f t="shared" ca="1" si="65"/>
        <v>180</v>
      </c>
      <c r="H187" s="90" t="str">
        <f t="shared" ca="1" si="66"/>
        <v>CAL_PH_10</v>
      </c>
      <c r="I187" s="91" t="str">
        <f t="shared" ca="1" si="67"/>
        <v>0</v>
      </c>
      <c r="J187" s="92" t="s">
        <v>17</v>
      </c>
      <c r="K187" s="92">
        <f t="shared" ca="1" si="68"/>
        <v>0</v>
      </c>
      <c r="L187" s="94">
        <f t="shared" ca="1" si="70"/>
        <v>0</v>
      </c>
      <c r="Q187" s="88"/>
      <c r="R187" s="90"/>
      <c r="S187" s="91"/>
      <c r="T187" s="92"/>
      <c r="U187" s="92"/>
      <c r="V187" s="94"/>
      <c r="X187" s="88">
        <f t="shared" si="63"/>
        <v>323</v>
      </c>
      <c r="Y187" s="88">
        <v>1</v>
      </c>
      <c r="AA187" s="88" t="str">
        <f t="shared" ca="1" si="61"/>
        <v>180</v>
      </c>
      <c r="AB187" s="90" t="str">
        <f t="shared" ca="1" si="60"/>
        <v>Q_CH20_F</v>
      </c>
      <c r="AC187" s="91" t="str">
        <f t="shared" ca="1" si="69"/>
        <v>0</v>
      </c>
      <c r="AD187" s="92" t="s">
        <v>21</v>
      </c>
      <c r="AE187" s="92">
        <f t="shared" ca="1" si="64"/>
        <v>0</v>
      </c>
      <c r="AF187" s="94"/>
    </row>
    <row r="188" spans="1:32">
      <c r="A188" s="79" t="str">
        <f>'CALIBRATION GUIDE'!B240</f>
        <v>036 FREQ_CH24      037 FREQ_CH25      038 FREQ_CH26      039 FREQ_CH27</v>
      </c>
      <c r="D188" s="88">
        <f t="shared" si="62"/>
        <v>117</v>
      </c>
      <c r="E188" s="88">
        <v>2</v>
      </c>
      <c r="G188" s="88" t="str">
        <f t="shared" ca="1" si="65"/>
        <v>181</v>
      </c>
      <c r="H188" s="90" t="str">
        <f t="shared" ca="1" si="66"/>
        <v>CAL_PH_11</v>
      </c>
      <c r="I188" s="91" t="str">
        <f t="shared" ca="1" si="67"/>
        <v>0</v>
      </c>
      <c r="J188" s="92" t="s">
        <v>17</v>
      </c>
      <c r="K188" s="92">
        <f t="shared" ca="1" si="68"/>
        <v>0</v>
      </c>
      <c r="L188" s="94">
        <f t="shared" ca="1" si="70"/>
        <v>0</v>
      </c>
      <c r="Q188" s="88"/>
      <c r="R188" s="90"/>
      <c r="S188" s="91"/>
      <c r="T188" s="92"/>
      <c r="U188" s="92"/>
      <c r="V188" s="94"/>
      <c r="X188" s="88">
        <f t="shared" si="63"/>
        <v>323</v>
      </c>
      <c r="Y188" s="88">
        <v>2</v>
      </c>
      <c r="AA188" s="88" t="str">
        <f t="shared" ca="1" si="61"/>
        <v>181</v>
      </c>
      <c r="AB188" s="90" t="str">
        <f t="shared" ca="1" si="60"/>
        <v>Q_CH21_F</v>
      </c>
      <c r="AC188" s="91" t="str">
        <f t="shared" ca="1" si="69"/>
        <v>0</v>
      </c>
      <c r="AD188" s="92" t="s">
        <v>21</v>
      </c>
      <c r="AE188" s="92">
        <f t="shared" ca="1" si="64"/>
        <v>0</v>
      </c>
      <c r="AF188" s="94"/>
    </row>
    <row r="189" spans="1:32">
      <c r="A189" s="79" t="str">
        <f>'CALIBRATION GUIDE'!B241</f>
        <v>0                  0                  0                  0</v>
      </c>
      <c r="D189" s="88">
        <f t="shared" si="62"/>
        <v>117</v>
      </c>
      <c r="E189" s="88">
        <v>3</v>
      </c>
      <c r="G189" s="88" t="str">
        <f t="shared" ca="1" si="65"/>
        <v>182</v>
      </c>
      <c r="H189" s="90" t="str">
        <f t="shared" ca="1" si="66"/>
        <v>CAL_PH_12</v>
      </c>
      <c r="I189" s="91" t="str">
        <f t="shared" ca="1" si="67"/>
        <v>0</v>
      </c>
      <c r="J189" s="92" t="s">
        <v>17</v>
      </c>
      <c r="K189" s="92">
        <f t="shared" ca="1" si="68"/>
        <v>0</v>
      </c>
      <c r="L189" s="94">
        <f t="shared" ca="1" si="70"/>
        <v>0</v>
      </c>
      <c r="Q189" s="88"/>
      <c r="R189" s="90"/>
      <c r="S189" s="91"/>
      <c r="T189" s="92"/>
      <c r="U189" s="92"/>
      <c r="V189" s="94"/>
      <c r="X189" s="88">
        <f t="shared" si="63"/>
        <v>323</v>
      </c>
      <c r="Y189" s="88">
        <v>3</v>
      </c>
      <c r="AA189" s="88" t="str">
        <f t="shared" ca="1" si="61"/>
        <v>182</v>
      </c>
      <c r="AB189" s="90" t="str">
        <f t="shared" ca="1" si="60"/>
        <v>Q_CH22_F</v>
      </c>
      <c r="AC189" s="91" t="str">
        <f t="shared" ca="1" si="69"/>
        <v>0</v>
      </c>
      <c r="AD189" s="92" t="s">
        <v>21</v>
      </c>
      <c r="AE189" s="92">
        <f t="shared" ca="1" si="64"/>
        <v>0</v>
      </c>
      <c r="AF189" s="94"/>
    </row>
    <row r="190" spans="1:32">
      <c r="A190" s="79" t="str">
        <f>'CALIBRATION GUIDE'!B242</f>
        <v>030 FREQ_CH28      041 FREQ_CH29      042 FREQ_CH30      043 FREQ_CH31</v>
      </c>
      <c r="D190" s="88">
        <f t="shared" si="62"/>
        <v>117</v>
      </c>
      <c r="E190" s="88">
        <v>4</v>
      </c>
      <c r="G190" s="88" t="str">
        <f t="shared" ca="1" si="65"/>
        <v>183</v>
      </c>
      <c r="H190" s="90" t="str">
        <f t="shared" ca="1" si="66"/>
        <v>CAL_PH_13</v>
      </c>
      <c r="I190" s="91" t="str">
        <f t="shared" ca="1" si="67"/>
        <v>0</v>
      </c>
      <c r="J190" s="92" t="s">
        <v>17</v>
      </c>
      <c r="K190" s="92">
        <f t="shared" ca="1" si="68"/>
        <v>0</v>
      </c>
      <c r="L190" s="94">
        <f t="shared" ca="1" si="70"/>
        <v>0</v>
      </c>
      <c r="Q190" s="88"/>
      <c r="R190" s="90"/>
      <c r="S190" s="91"/>
      <c r="T190" s="92"/>
      <c r="U190" s="92"/>
      <c r="V190" s="94"/>
      <c r="X190" s="88">
        <f t="shared" si="63"/>
        <v>323</v>
      </c>
      <c r="Y190" s="88">
        <v>4</v>
      </c>
      <c r="AA190" s="88" t="str">
        <f t="shared" ca="1" si="61"/>
        <v>183</v>
      </c>
      <c r="AB190" s="90" t="str">
        <f t="shared" ca="1" si="60"/>
        <v>Q_CH23_F</v>
      </c>
      <c r="AC190" s="91" t="str">
        <f t="shared" ca="1" si="69"/>
        <v>0</v>
      </c>
      <c r="AD190" s="92" t="s">
        <v>21</v>
      </c>
      <c r="AE190" s="92">
        <f t="shared" ca="1" si="64"/>
        <v>0</v>
      </c>
      <c r="AF190" s="94"/>
    </row>
    <row r="191" spans="1:32">
      <c r="A191" s="79" t="str">
        <f>'CALIBRATION GUIDE'!B243</f>
        <v>0                  0                  0                  0</v>
      </c>
      <c r="D191" s="88">
        <f t="shared" si="62"/>
        <v>119</v>
      </c>
      <c r="E191" s="88">
        <v>1</v>
      </c>
      <c r="G191" s="88" t="str">
        <f t="shared" ca="1" si="65"/>
        <v>184</v>
      </c>
      <c r="H191" s="90" t="str">
        <f t="shared" ca="1" si="66"/>
        <v>CAL_PH_14</v>
      </c>
      <c r="I191" s="91" t="str">
        <f t="shared" ca="1" si="67"/>
        <v>0</v>
      </c>
      <c r="J191" s="92" t="s">
        <v>17</v>
      </c>
      <c r="K191" s="92">
        <f t="shared" ca="1" si="68"/>
        <v>0</v>
      </c>
      <c r="L191" s="94">
        <f t="shared" ca="1" si="70"/>
        <v>0</v>
      </c>
      <c r="Q191" s="88"/>
      <c r="R191" s="90"/>
      <c r="S191" s="91"/>
      <c r="T191" s="92"/>
      <c r="U191" s="92"/>
      <c r="V191" s="94"/>
      <c r="X191" s="88">
        <f t="shared" si="63"/>
        <v>325</v>
      </c>
      <c r="Y191" s="88">
        <v>1</v>
      </c>
      <c r="AA191" s="88" t="str">
        <f t="shared" ca="1" si="61"/>
        <v>184</v>
      </c>
      <c r="AB191" s="90" t="str">
        <f t="shared" ca="1" si="60"/>
        <v>Q_CH24_F</v>
      </c>
      <c r="AC191" s="91" t="str">
        <f t="shared" ca="1" si="69"/>
        <v>0</v>
      </c>
      <c r="AD191" s="92" t="s">
        <v>21</v>
      </c>
      <c r="AE191" s="92">
        <f t="shared" ca="1" si="64"/>
        <v>0</v>
      </c>
      <c r="AF191" s="94"/>
    </row>
    <row r="192" spans="1:32">
      <c r="A192" s="79" t="str">
        <f>'CALIBRATION GUIDE'!B244</f>
        <v>044 RESERVED_S44   045 RESERVED_S45   046 CH_MAX_0       047 CH_MAX_1</v>
      </c>
      <c r="D192" s="88">
        <f t="shared" si="62"/>
        <v>119</v>
      </c>
      <c r="E192" s="88">
        <v>2</v>
      </c>
      <c r="G192" s="88" t="str">
        <f t="shared" ca="1" si="65"/>
        <v>185</v>
      </c>
      <c r="H192" s="90" t="str">
        <f t="shared" ca="1" si="66"/>
        <v>CAL_PH_15</v>
      </c>
      <c r="I192" s="91" t="str">
        <f t="shared" ca="1" si="67"/>
        <v>0</v>
      </c>
      <c r="J192" s="92" t="s">
        <v>17</v>
      </c>
      <c r="K192" s="92">
        <f t="shared" ca="1" si="68"/>
        <v>0</v>
      </c>
      <c r="L192" s="94">
        <f t="shared" ca="1" si="70"/>
        <v>0</v>
      </c>
      <c r="Q192" s="88"/>
      <c r="R192" s="90"/>
      <c r="S192" s="91"/>
      <c r="T192" s="92"/>
      <c r="U192" s="92"/>
      <c r="V192" s="94"/>
      <c r="X192" s="88">
        <f t="shared" si="63"/>
        <v>325</v>
      </c>
      <c r="Y192" s="88">
        <v>2</v>
      </c>
      <c r="AA192" s="88" t="str">
        <f t="shared" ca="1" si="61"/>
        <v>185</v>
      </c>
      <c r="AB192" s="90" t="str">
        <f t="shared" ca="1" si="60"/>
        <v>Q_CH25_F</v>
      </c>
      <c r="AC192" s="91" t="str">
        <f t="shared" ca="1" si="69"/>
        <v>0</v>
      </c>
      <c r="AD192" s="92" t="s">
        <v>21</v>
      </c>
      <c r="AE192" s="92">
        <f t="shared" ca="1" si="64"/>
        <v>0</v>
      </c>
      <c r="AF192" s="94"/>
    </row>
    <row r="193" spans="1:32">
      <c r="A193" s="79" t="str">
        <f>'CALIBRATION GUIDE'!B245</f>
        <v>0                  0                  60BD064            60B8536</v>
      </c>
      <c r="D193" s="88">
        <f t="shared" si="62"/>
        <v>119</v>
      </c>
      <c r="E193" s="88">
        <v>3</v>
      </c>
      <c r="G193" s="88" t="str">
        <f t="shared" ca="1" si="65"/>
        <v>186</v>
      </c>
      <c r="H193" s="90" t="str">
        <f t="shared" ca="1" si="66"/>
        <v>CAL_PH_16</v>
      </c>
      <c r="I193" s="91" t="str">
        <f t="shared" ca="1" si="67"/>
        <v>0</v>
      </c>
      <c r="J193" s="92" t="s">
        <v>17</v>
      </c>
      <c r="K193" s="92">
        <f t="shared" ca="1" si="68"/>
        <v>0</v>
      </c>
      <c r="L193" s="94">
        <f t="shared" ca="1" si="70"/>
        <v>0</v>
      </c>
      <c r="Q193" s="88"/>
      <c r="R193" s="90"/>
      <c r="S193" s="91"/>
      <c r="T193" s="92"/>
      <c r="U193" s="92"/>
      <c r="V193" s="94"/>
      <c r="X193" s="88">
        <f t="shared" si="63"/>
        <v>325</v>
      </c>
      <c r="Y193" s="88">
        <v>3</v>
      </c>
      <c r="AA193" s="88" t="str">
        <f t="shared" ca="1" si="61"/>
        <v>186</v>
      </c>
      <c r="AB193" s="90" t="str">
        <f t="shared" ca="1" si="60"/>
        <v>Q_CH26_F</v>
      </c>
      <c r="AC193" s="91" t="str">
        <f t="shared" ca="1" si="69"/>
        <v>0</v>
      </c>
      <c r="AD193" s="92" t="s">
        <v>21</v>
      </c>
      <c r="AE193" s="92">
        <f t="shared" ca="1" si="64"/>
        <v>0</v>
      </c>
      <c r="AF193" s="94"/>
    </row>
    <row r="194" spans="1:32">
      <c r="A194" s="79" t="str">
        <f>'CALIBRATION GUIDE'!B246</f>
        <v>048 CH_MAX_2       049 CH_MAX_3       050 CH_MAX_4       051 CH_MAX_5</v>
      </c>
      <c r="D194" s="88">
        <f t="shared" si="62"/>
        <v>119</v>
      </c>
      <c r="E194" s="88">
        <v>4</v>
      </c>
      <c r="G194" s="88" t="str">
        <f t="shared" ca="1" si="65"/>
        <v>187</v>
      </c>
      <c r="H194" s="90" t="str">
        <f t="shared" ca="1" si="66"/>
        <v>CAL_PH_17</v>
      </c>
      <c r="I194" s="91" t="str">
        <f t="shared" ca="1" si="67"/>
        <v>0</v>
      </c>
      <c r="J194" s="92" t="s">
        <v>17</v>
      </c>
      <c r="K194" s="92">
        <f t="shared" ca="1" si="68"/>
        <v>0</v>
      </c>
      <c r="L194" s="94">
        <f t="shared" ca="1" si="70"/>
        <v>0</v>
      </c>
      <c r="Q194" s="88"/>
      <c r="R194" s="90"/>
      <c r="S194" s="91"/>
      <c r="T194" s="92"/>
      <c r="U194" s="92"/>
      <c r="V194" s="94"/>
      <c r="X194" s="88">
        <f t="shared" si="63"/>
        <v>325</v>
      </c>
      <c r="Y194" s="88">
        <v>4</v>
      </c>
      <c r="AA194" s="88" t="str">
        <f t="shared" ca="1" si="61"/>
        <v>187</v>
      </c>
      <c r="AB194" s="90" t="str">
        <f t="shared" ca="1" si="60"/>
        <v>Q_CH27_F</v>
      </c>
      <c r="AC194" s="91" t="str">
        <f t="shared" ca="1" si="69"/>
        <v>0</v>
      </c>
      <c r="AD194" s="92" t="s">
        <v>21</v>
      </c>
      <c r="AE194" s="92">
        <f t="shared" ca="1" si="64"/>
        <v>0</v>
      </c>
      <c r="AF194" s="94"/>
    </row>
    <row r="195" spans="1:32">
      <c r="A195" s="79" t="str">
        <f>'CALIBRATION GUIDE'!B247</f>
        <v>60BDB45            23E7BFC            23D191F            23CFBB7</v>
      </c>
      <c r="D195" s="88">
        <f t="shared" si="62"/>
        <v>121</v>
      </c>
      <c r="E195" s="88">
        <v>1</v>
      </c>
      <c r="G195" s="88" t="str">
        <f t="shared" ca="1" si="65"/>
        <v>188</v>
      </c>
      <c r="H195" s="90" t="str">
        <f t="shared" ca="1" si="66"/>
        <v>CAL_PH_18</v>
      </c>
      <c r="I195" s="91" t="str">
        <f t="shared" ca="1" si="67"/>
        <v>0</v>
      </c>
      <c r="J195" s="92" t="s">
        <v>17</v>
      </c>
      <c r="K195" s="92">
        <f t="shared" ca="1" si="68"/>
        <v>0</v>
      </c>
      <c r="L195" s="94">
        <f t="shared" ca="1" si="70"/>
        <v>0</v>
      </c>
      <c r="Q195" s="88"/>
      <c r="R195" s="90"/>
      <c r="S195" s="91"/>
      <c r="T195" s="92"/>
      <c r="U195" s="92"/>
      <c r="V195" s="94"/>
      <c r="X195" s="88">
        <f t="shared" si="63"/>
        <v>327</v>
      </c>
      <c r="Y195" s="88">
        <v>1</v>
      </c>
      <c r="AA195" s="88" t="str">
        <f t="shared" ca="1" si="61"/>
        <v>188</v>
      </c>
      <c r="AB195" s="90" t="str">
        <f t="shared" ca="1" si="60"/>
        <v>Q_CH28_F</v>
      </c>
      <c r="AC195" s="91" t="str">
        <f t="shared" ca="1" si="69"/>
        <v>0</v>
      </c>
      <c r="AD195" s="92" t="s">
        <v>21</v>
      </c>
      <c r="AE195" s="92">
        <f t="shared" ca="1" si="64"/>
        <v>0</v>
      </c>
      <c r="AF195" s="94"/>
    </row>
    <row r="196" spans="1:32">
      <c r="A196" s="79" t="str">
        <f>'CALIBRATION GUIDE'!B248</f>
        <v>052 CH_MAX_6       053 CH_MAX_7       054 CH_MAX_8       055 CH_MAX_9</v>
      </c>
      <c r="D196" s="88">
        <f t="shared" si="62"/>
        <v>121</v>
      </c>
      <c r="E196" s="88">
        <v>2</v>
      </c>
      <c r="G196" s="88" t="str">
        <f t="shared" ca="1" si="65"/>
        <v>189</v>
      </c>
      <c r="H196" s="90" t="str">
        <f t="shared" ca="1" si="66"/>
        <v>CAL_PH_19</v>
      </c>
      <c r="I196" s="91" t="str">
        <f t="shared" ca="1" si="67"/>
        <v>0</v>
      </c>
      <c r="J196" s="92" t="s">
        <v>17</v>
      </c>
      <c r="K196" s="92">
        <f t="shared" ca="1" si="68"/>
        <v>0</v>
      </c>
      <c r="L196" s="94">
        <f t="shared" ca="1" si="70"/>
        <v>0</v>
      </c>
      <c r="Q196" s="88"/>
      <c r="R196" s="90"/>
      <c r="S196" s="91"/>
      <c r="T196" s="92"/>
      <c r="U196" s="92"/>
      <c r="V196" s="94"/>
      <c r="X196" s="88">
        <f t="shared" si="63"/>
        <v>327</v>
      </c>
      <c r="Y196" s="88">
        <v>2</v>
      </c>
      <c r="AA196" s="88" t="str">
        <f t="shared" ca="1" si="61"/>
        <v>189</v>
      </c>
      <c r="AB196" s="90" t="str">
        <f t="shared" ca="1" si="60"/>
        <v>Q_CH29_F</v>
      </c>
      <c r="AC196" s="91" t="str">
        <f t="shared" ca="1" si="69"/>
        <v>0</v>
      </c>
      <c r="AD196" s="92" t="s">
        <v>21</v>
      </c>
      <c r="AE196" s="92">
        <f t="shared" ca="1" si="64"/>
        <v>0</v>
      </c>
      <c r="AF196" s="94"/>
    </row>
    <row r="197" spans="1:32">
      <c r="A197" s="79" t="str">
        <f>'CALIBRATION GUIDE'!B249</f>
        <v>5B08               6F4A               0                  0</v>
      </c>
      <c r="D197" s="88">
        <f t="shared" si="62"/>
        <v>121</v>
      </c>
      <c r="E197" s="88">
        <v>3</v>
      </c>
      <c r="G197" s="88" t="str">
        <f t="shared" ca="1" si="65"/>
        <v>190</v>
      </c>
      <c r="H197" s="90" t="str">
        <f t="shared" ca="1" si="66"/>
        <v>CAL_PH_20</v>
      </c>
      <c r="I197" s="91" t="str">
        <f t="shared" ca="1" si="67"/>
        <v>0</v>
      </c>
      <c r="J197" s="92" t="s">
        <v>17</v>
      </c>
      <c r="K197" s="92">
        <f t="shared" ca="1" si="68"/>
        <v>0</v>
      </c>
      <c r="L197" s="94">
        <f t="shared" ca="1" si="70"/>
        <v>0</v>
      </c>
      <c r="Q197" s="88"/>
      <c r="R197" s="90"/>
      <c r="S197" s="91"/>
      <c r="T197" s="92"/>
      <c r="U197" s="92"/>
      <c r="V197" s="94"/>
      <c r="X197" s="88">
        <f t="shared" si="63"/>
        <v>327</v>
      </c>
      <c r="Y197" s="88">
        <v>3</v>
      </c>
      <c r="AA197" s="88" t="str">
        <f t="shared" ca="1" si="61"/>
        <v>190</v>
      </c>
      <c r="AB197" s="90" t="str">
        <f t="shared" ca="1" si="60"/>
        <v>Q_CH30_F</v>
      </c>
      <c r="AC197" s="91" t="str">
        <f t="shared" ca="1" si="69"/>
        <v>0</v>
      </c>
      <c r="AD197" s="92" t="s">
        <v>21</v>
      </c>
      <c r="AE197" s="92">
        <f t="shared" ca="1" si="64"/>
        <v>0</v>
      </c>
      <c r="AF197" s="94"/>
    </row>
    <row r="198" spans="1:32">
      <c r="A198" s="79" t="str">
        <f>'CALIBRATION GUIDE'!B250</f>
        <v>056 CH_MAX_10      057 CH_MAX_11      058 CH_MAX_12      059 CH_MAX_13</v>
      </c>
      <c r="D198" s="88">
        <f t="shared" si="62"/>
        <v>121</v>
      </c>
      <c r="E198" s="88">
        <v>4</v>
      </c>
      <c r="G198" s="88" t="str">
        <f t="shared" ca="1" si="65"/>
        <v>191</v>
      </c>
      <c r="H198" s="90" t="str">
        <f t="shared" ca="1" si="66"/>
        <v>CAL_PH_21</v>
      </c>
      <c r="I198" s="91" t="str">
        <f t="shared" ca="1" si="67"/>
        <v>0</v>
      </c>
      <c r="J198" s="92" t="s">
        <v>17</v>
      </c>
      <c r="K198" s="92">
        <f t="shared" ca="1" si="68"/>
        <v>0</v>
      </c>
      <c r="L198" s="94">
        <f t="shared" ca="1" si="70"/>
        <v>0</v>
      </c>
      <c r="Q198" s="88"/>
      <c r="R198" s="90"/>
      <c r="S198" s="91"/>
      <c r="T198" s="92"/>
      <c r="U198" s="92"/>
      <c r="V198" s="94"/>
      <c r="X198" s="88">
        <f t="shared" si="63"/>
        <v>327</v>
      </c>
      <c r="Y198" s="88">
        <v>4</v>
      </c>
      <c r="AA198" s="88" t="str">
        <f t="shared" ca="1" si="61"/>
        <v>191</v>
      </c>
      <c r="AB198" s="90" t="str">
        <f t="shared" ca="1" si="60"/>
        <v>RESERVED_A191</v>
      </c>
      <c r="AC198" s="91" t="str">
        <f t="shared" ca="1" si="69"/>
        <v>0</v>
      </c>
      <c r="AD198" s="92" t="s">
        <v>17</v>
      </c>
      <c r="AE198" s="92">
        <f t="shared" ca="1" si="64"/>
        <v>0</v>
      </c>
      <c r="AF198" s="94"/>
    </row>
    <row r="199" spans="1:32">
      <c r="A199" s="79" t="str">
        <f>'CALIBRATION GUIDE'!B251</f>
        <v>0                  0                  0                  0</v>
      </c>
      <c r="D199" s="88">
        <f t="shared" si="62"/>
        <v>123</v>
      </c>
      <c r="E199" s="88">
        <v>1</v>
      </c>
      <c r="G199" s="88" t="str">
        <f t="shared" ca="1" si="65"/>
        <v>192</v>
      </c>
      <c r="H199" s="90" t="str">
        <f t="shared" ca="1" si="66"/>
        <v>CAL_PH_22</v>
      </c>
      <c r="I199" s="91" t="str">
        <f t="shared" ca="1" si="67"/>
        <v>0</v>
      </c>
      <c r="J199" s="92" t="s">
        <v>17</v>
      </c>
      <c r="K199" s="92">
        <f t="shared" ca="1" si="68"/>
        <v>0</v>
      </c>
      <c r="L199" s="94">
        <f t="shared" ca="1" si="70"/>
        <v>0</v>
      </c>
      <c r="Q199" s="88"/>
      <c r="R199" s="90"/>
      <c r="S199" s="91"/>
      <c r="T199" s="92"/>
      <c r="U199" s="92"/>
      <c r="V199" s="94"/>
      <c r="X199" s="88">
        <f t="shared" si="63"/>
        <v>329</v>
      </c>
      <c r="Y199" s="88">
        <v>1</v>
      </c>
      <c r="AA199" s="88" t="str">
        <f t="shared" ca="1" si="61"/>
        <v>192</v>
      </c>
      <c r="AB199" s="90" t="str">
        <f t="shared" ref="AB199:AB222" ca="1" si="71">TRIM(MID(INDIRECT(ADDRESS(X199,1)),(Y199-1)*19+4,16))</f>
        <v>V_AB</v>
      </c>
      <c r="AC199" s="91" t="str">
        <f t="shared" ca="1" si="69"/>
        <v>CBC97AF49451</v>
      </c>
      <c r="AD199" s="92" t="s">
        <v>17</v>
      </c>
      <c r="AE199" s="92">
        <f t="shared" ca="1" si="64"/>
        <v>104338.96058896976</v>
      </c>
      <c r="AF199" s="94"/>
    </row>
    <row r="200" spans="1:32">
      <c r="A200" s="79" t="str">
        <f>'CALIBRATION GUIDE'!B252</f>
        <v>060 CH_MAX_14      061 CH_MAX_15      062 CH_MAX_16      063 CH_MAX_17</v>
      </c>
      <c r="D200" s="88">
        <f t="shared" si="62"/>
        <v>123</v>
      </c>
      <c r="E200" s="88">
        <v>2</v>
      </c>
      <c r="G200" s="88" t="str">
        <f t="shared" ca="1" si="65"/>
        <v>193</v>
      </c>
      <c r="H200" s="90" t="str">
        <f t="shared" ca="1" si="66"/>
        <v>CAL_PH_23</v>
      </c>
      <c r="I200" s="91" t="str">
        <f t="shared" ca="1" si="67"/>
        <v>0</v>
      </c>
      <c r="J200" s="92" t="s">
        <v>17</v>
      </c>
      <c r="K200" s="92">
        <f t="shared" ca="1" si="68"/>
        <v>0</v>
      </c>
      <c r="L200" s="94">
        <f t="shared" ca="1" si="70"/>
        <v>0</v>
      </c>
      <c r="Q200" s="88"/>
      <c r="R200" s="90"/>
      <c r="S200" s="91"/>
      <c r="T200" s="92"/>
      <c r="U200" s="92"/>
      <c r="V200" s="94"/>
      <c r="X200" s="88">
        <f t="shared" si="63"/>
        <v>329</v>
      </c>
      <c r="Y200" s="88">
        <v>2</v>
      </c>
      <c r="AA200" s="88" t="str">
        <f t="shared" ref="AA200:AA222" ca="1" si="72">MID(INDIRECT(ADDRESS(X200,1)),(Y200-1)*19+1,3)</f>
        <v>193</v>
      </c>
      <c r="AB200" s="90" t="str">
        <f t="shared" ca="1" si="71"/>
        <v>V_BC</v>
      </c>
      <c r="AC200" s="91" t="str">
        <f t="shared" ca="1" si="69"/>
        <v>CBD49F0C32C7</v>
      </c>
      <c r="AD200" s="92" t="s">
        <v>17</v>
      </c>
      <c r="AE200" s="92">
        <f t="shared" ca="1" si="64"/>
        <v>104361.24255976407</v>
      </c>
      <c r="AF200" s="94"/>
    </row>
    <row r="201" spans="1:32">
      <c r="A201" s="79" t="str">
        <f>'CALIBRATION GUIDE'!B253</f>
        <v>0                  0                  0                  0</v>
      </c>
      <c r="D201" s="88">
        <f t="shared" si="62"/>
        <v>123</v>
      </c>
      <c r="E201" s="88">
        <v>3</v>
      </c>
      <c r="G201" s="88" t="str">
        <f t="shared" ca="1" si="65"/>
        <v>194</v>
      </c>
      <c r="H201" s="90" t="str">
        <f t="shared" ca="1" si="66"/>
        <v>CAL_PH_24</v>
      </c>
      <c r="I201" s="91" t="str">
        <f t="shared" ca="1" si="67"/>
        <v>0</v>
      </c>
      <c r="J201" s="92" t="s">
        <v>17</v>
      </c>
      <c r="K201" s="92">
        <f t="shared" ca="1" si="68"/>
        <v>0</v>
      </c>
      <c r="L201" s="94">
        <f t="shared" ca="1" si="70"/>
        <v>0</v>
      </c>
      <c r="Q201" s="88"/>
      <c r="R201" s="90"/>
      <c r="S201" s="91"/>
      <c r="T201" s="92"/>
      <c r="U201" s="92"/>
      <c r="V201" s="94"/>
      <c r="X201" s="88">
        <f t="shared" si="63"/>
        <v>329</v>
      </c>
      <c r="Y201" s="88">
        <v>3</v>
      </c>
      <c r="AA201" s="88" t="str">
        <f t="shared" ca="1" si="72"/>
        <v>194</v>
      </c>
      <c r="AB201" s="90" t="str">
        <f t="shared" ca="1" si="71"/>
        <v>V_CA</v>
      </c>
      <c r="AC201" s="91" t="str">
        <f t="shared" ca="1" si="69"/>
        <v>CBDCD2A8FCC0</v>
      </c>
      <c r="AD201" s="92" t="s">
        <v>17</v>
      </c>
      <c r="AE201" s="92">
        <f t="shared" ca="1" si="64"/>
        <v>104377.64578208327</v>
      </c>
      <c r="AF201" s="94"/>
    </row>
    <row r="202" spans="1:32">
      <c r="A202" s="79" t="str">
        <f>'CALIBRATION GUIDE'!B254</f>
        <v>064 CH_MAX_18      065 CH_MAX_19      066 CH_MAX_20      067 CH_MAX_21</v>
      </c>
      <c r="D202" s="88">
        <f t="shared" si="62"/>
        <v>123</v>
      </c>
      <c r="E202" s="88">
        <v>4</v>
      </c>
      <c r="G202" s="88" t="str">
        <f t="shared" ca="1" si="65"/>
        <v>195</v>
      </c>
      <c r="H202" s="90" t="str">
        <f t="shared" ca="1" si="66"/>
        <v>CAL_PH_25</v>
      </c>
      <c r="I202" s="91" t="str">
        <f t="shared" ca="1" si="67"/>
        <v>0</v>
      </c>
      <c r="J202" s="92" t="s">
        <v>17</v>
      </c>
      <c r="K202" s="92">
        <f t="shared" ca="1" si="68"/>
        <v>0</v>
      </c>
      <c r="L202" s="94">
        <f t="shared" ca="1" si="70"/>
        <v>0</v>
      </c>
      <c r="Q202" s="88"/>
      <c r="R202" s="90"/>
      <c r="S202" s="91"/>
      <c r="T202" s="92"/>
      <c r="U202" s="92"/>
      <c r="V202" s="94"/>
      <c r="X202" s="88">
        <f t="shared" si="63"/>
        <v>329</v>
      </c>
      <c r="Y202" s="88">
        <v>4</v>
      </c>
      <c r="AA202" s="88" t="str">
        <f t="shared" ca="1" si="72"/>
        <v>195</v>
      </c>
      <c r="AB202" s="90" t="str">
        <f t="shared" ca="1" si="71"/>
        <v>V_AB_F</v>
      </c>
      <c r="AC202" s="91" t="str">
        <f t="shared" ca="1" si="69"/>
        <v>CBD059AB4328</v>
      </c>
      <c r="AD202" s="92" t="s">
        <v>17</v>
      </c>
      <c r="AE202" s="92">
        <f t="shared" ca="1" si="64"/>
        <v>104352.70053901151</v>
      </c>
      <c r="AF202" s="94"/>
    </row>
    <row r="203" spans="1:32">
      <c r="A203" s="79" t="str">
        <f>'CALIBRATION GUIDE'!B255</f>
        <v>0                  0                  0                  0</v>
      </c>
      <c r="D203" s="88">
        <f t="shared" si="62"/>
        <v>125</v>
      </c>
      <c r="E203" s="88">
        <v>1</v>
      </c>
      <c r="G203" s="88" t="str">
        <f t="shared" ca="1" si="65"/>
        <v>196</v>
      </c>
      <c r="H203" s="90" t="str">
        <f t="shared" ca="1" si="66"/>
        <v>CAL_PH_26</v>
      </c>
      <c r="I203" s="91" t="str">
        <f t="shared" ca="1" si="67"/>
        <v>0</v>
      </c>
      <c r="J203" s="92" t="s">
        <v>17</v>
      </c>
      <c r="K203" s="92">
        <f t="shared" ca="1" si="68"/>
        <v>0</v>
      </c>
      <c r="L203" s="94">
        <f t="shared" ca="1" si="70"/>
        <v>0</v>
      </c>
      <c r="Q203" s="88"/>
      <c r="R203" s="90"/>
      <c r="S203" s="91"/>
      <c r="T203" s="92"/>
      <c r="U203" s="92"/>
      <c r="V203" s="94"/>
      <c r="X203" s="88">
        <f t="shared" si="63"/>
        <v>331</v>
      </c>
      <c r="Y203" s="88">
        <v>1</v>
      </c>
      <c r="AA203" s="88" t="str">
        <f t="shared" ca="1" si="72"/>
        <v>196</v>
      </c>
      <c r="AB203" s="90" t="str">
        <f t="shared" ca="1" si="71"/>
        <v>V_BC_F</v>
      </c>
      <c r="AC203" s="91" t="str">
        <f t="shared" ca="1" si="69"/>
        <v>CBDD368F0B65</v>
      </c>
      <c r="AD203" s="92" t="s">
        <v>17</v>
      </c>
      <c r="AE203" s="92">
        <f t="shared" ca="1" si="64"/>
        <v>104378.42624037201</v>
      </c>
      <c r="AF203" s="94"/>
    </row>
    <row r="204" spans="1:32">
      <c r="A204" s="79" t="str">
        <f>'CALIBRATION GUIDE'!B256</f>
        <v>068 CH_MAX_22      069 CH_MAX_23      070 CH_MAX_24      071 CH_MAX_25</v>
      </c>
      <c r="D204" s="88">
        <f t="shared" ref="D204:D267" si="73">D200+2</f>
        <v>125</v>
      </c>
      <c r="E204" s="88">
        <v>2</v>
      </c>
      <c r="G204" s="88" t="str">
        <f t="shared" ca="1" si="65"/>
        <v>197</v>
      </c>
      <c r="H204" s="90" t="str">
        <f t="shared" ca="1" si="66"/>
        <v>CAL_PH_27</v>
      </c>
      <c r="I204" s="91" t="str">
        <f t="shared" ca="1" si="67"/>
        <v>0</v>
      </c>
      <c r="J204" s="92" t="s">
        <v>17</v>
      </c>
      <c r="K204" s="92">
        <f t="shared" ca="1" si="68"/>
        <v>0</v>
      </c>
      <c r="L204" s="94">
        <f t="shared" ca="1" si="70"/>
        <v>0</v>
      </c>
      <c r="Q204" s="88"/>
      <c r="R204" s="90"/>
      <c r="S204" s="91"/>
      <c r="T204" s="92"/>
      <c r="U204" s="92"/>
      <c r="V204" s="94"/>
      <c r="X204" s="88">
        <f t="shared" ref="X204:X222" si="74">X200+2</f>
        <v>331</v>
      </c>
      <c r="Y204" s="88">
        <v>2</v>
      </c>
      <c r="AA204" s="88" t="str">
        <f t="shared" ca="1" si="72"/>
        <v>197</v>
      </c>
      <c r="AB204" s="90" t="str">
        <f t="shared" ca="1" si="71"/>
        <v>V_CA_F</v>
      </c>
      <c r="AC204" s="91" t="str">
        <f t="shared" ca="1" si="69"/>
        <v>CBCAA0D56B15</v>
      </c>
      <c r="AD204" s="92" t="s">
        <v>17</v>
      </c>
      <c r="AE204" s="92">
        <f t="shared" ca="1" si="64"/>
        <v>104341.25651300931</v>
      </c>
      <c r="AF204" s="94"/>
    </row>
    <row r="205" spans="1:32">
      <c r="A205" s="79" t="str">
        <f>'CALIBRATION GUIDE'!B257</f>
        <v>0                  0                  0                  0</v>
      </c>
      <c r="D205" s="88">
        <f t="shared" si="73"/>
        <v>125</v>
      </c>
      <c r="E205" s="88">
        <v>3</v>
      </c>
      <c r="G205" s="88" t="str">
        <f t="shared" ca="1" si="65"/>
        <v>198</v>
      </c>
      <c r="H205" s="90" t="str">
        <f t="shared" ca="1" si="66"/>
        <v>CAL_PH_28</v>
      </c>
      <c r="I205" s="91" t="str">
        <f t="shared" ca="1" si="67"/>
        <v>0</v>
      </c>
      <c r="J205" s="92" t="s">
        <v>17</v>
      </c>
      <c r="K205" s="92">
        <f t="shared" ca="1" si="68"/>
        <v>0</v>
      </c>
      <c r="L205" s="94">
        <f t="shared" ca="1" si="70"/>
        <v>0</v>
      </c>
      <c r="Q205" s="88"/>
      <c r="R205" s="90"/>
      <c r="S205" s="91"/>
      <c r="T205" s="92"/>
      <c r="U205" s="92"/>
      <c r="V205" s="94"/>
      <c r="X205" s="88">
        <f t="shared" si="74"/>
        <v>331</v>
      </c>
      <c r="Y205" s="88">
        <v>3</v>
      </c>
      <c r="AA205" s="88" t="str">
        <f t="shared" ca="1" si="72"/>
        <v>198</v>
      </c>
      <c r="AB205" s="90" t="str">
        <f t="shared" ca="1" si="71"/>
        <v>ACC_T0</v>
      </c>
      <c r="AC205" s="91" t="str">
        <f t="shared" ca="1" si="69"/>
        <v>1D65A3DA52B</v>
      </c>
      <c r="AD205" s="92" t="s">
        <v>17</v>
      </c>
      <c r="AE205" s="92">
        <f t="shared" ca="1" si="64"/>
        <v>940.70500626182184</v>
      </c>
      <c r="AF205" s="94"/>
    </row>
    <row r="206" spans="1:32">
      <c r="A206" s="79" t="str">
        <f>'CALIBRATION GUIDE'!B258</f>
        <v>072 CH_MAX_26      073 CH_MAX_27      074 CH_MAX_28      075 CH_MAX_29</v>
      </c>
      <c r="D206" s="88">
        <f t="shared" si="73"/>
        <v>125</v>
      </c>
      <c r="E206" s="88">
        <v>4</v>
      </c>
      <c r="G206" s="88" t="str">
        <f t="shared" ca="1" si="65"/>
        <v>199</v>
      </c>
      <c r="H206" s="90" t="str">
        <f t="shared" ca="1" si="66"/>
        <v>CAL_PH_29</v>
      </c>
      <c r="I206" s="91" t="str">
        <f t="shared" ca="1" si="67"/>
        <v>0</v>
      </c>
      <c r="J206" s="92" t="s">
        <v>17</v>
      </c>
      <c r="K206" s="92">
        <f t="shared" ca="1" si="68"/>
        <v>0</v>
      </c>
      <c r="L206" s="94">
        <f t="shared" ca="1" si="70"/>
        <v>0</v>
      </c>
      <c r="Q206" s="88"/>
      <c r="R206" s="90"/>
      <c r="S206" s="91"/>
      <c r="T206" s="92"/>
      <c r="U206" s="92"/>
      <c r="V206" s="94"/>
      <c r="X206" s="88">
        <f t="shared" si="74"/>
        <v>331</v>
      </c>
      <c r="Y206" s="88">
        <v>4</v>
      </c>
      <c r="AA206" s="88" t="str">
        <f t="shared" ca="1" si="72"/>
        <v>199</v>
      </c>
      <c r="AB206" s="90" t="str">
        <f t="shared" ca="1" si="71"/>
        <v>ACC_T1</v>
      </c>
      <c r="AC206" s="91" t="str">
        <f t="shared" ca="1" si="69"/>
        <v>2A7A7300CAB</v>
      </c>
      <c r="AD206" s="92" t="s">
        <v>17</v>
      </c>
      <c r="AE206" s="92">
        <f t="shared" ca="1" si="64"/>
        <v>1359.3061538538896</v>
      </c>
      <c r="AF206" s="94"/>
    </row>
    <row r="207" spans="1:32">
      <c r="A207" s="79" t="str">
        <f>'CALIBRATION GUIDE'!B259</f>
        <v>0                  0                  0                  0</v>
      </c>
      <c r="D207" s="88">
        <f t="shared" si="73"/>
        <v>127</v>
      </c>
      <c r="E207" s="88">
        <v>1</v>
      </c>
      <c r="G207" s="88" t="str">
        <f t="shared" ca="1" si="65"/>
        <v>200</v>
      </c>
      <c r="H207" s="90" t="str">
        <f t="shared" ca="1" si="66"/>
        <v>CAL_PH_30</v>
      </c>
      <c r="I207" s="91" t="str">
        <f t="shared" ca="1" si="67"/>
        <v>0</v>
      </c>
      <c r="J207" s="92" t="s">
        <v>17</v>
      </c>
      <c r="K207" s="92">
        <f t="shared" ca="1" si="68"/>
        <v>0</v>
      </c>
      <c r="L207" s="94">
        <f t="shared" ca="1" si="70"/>
        <v>0</v>
      </c>
      <c r="Q207" s="88"/>
      <c r="R207" s="90"/>
      <c r="S207" s="91"/>
      <c r="T207" s="92"/>
      <c r="U207" s="92"/>
      <c r="V207" s="94"/>
      <c r="X207" s="88">
        <f t="shared" si="74"/>
        <v>333</v>
      </c>
      <c r="Y207" s="88">
        <v>1</v>
      </c>
      <c r="AA207" s="88" t="str">
        <f t="shared" ca="1" si="72"/>
        <v>200</v>
      </c>
      <c r="AB207" s="90" t="str">
        <f t="shared" ca="1" si="71"/>
        <v>ACC_T2</v>
      </c>
      <c r="AC207" s="91" t="str">
        <f t="shared" ca="1" si="69"/>
        <v>0</v>
      </c>
      <c r="AD207" s="92" t="s">
        <v>17</v>
      </c>
      <c r="AE207" s="92">
        <f t="shared" ca="1" si="64"/>
        <v>0</v>
      </c>
      <c r="AF207" s="94"/>
    </row>
    <row r="208" spans="1:32">
      <c r="A208" s="79" t="str">
        <f>'CALIBRATION GUIDE'!B260</f>
        <v>076 CH_MAX_30      077 CH_MAX_31      078 FEATURES       079 MCP_CRC_ERRORS</v>
      </c>
      <c r="D208" s="88">
        <f t="shared" si="73"/>
        <v>127</v>
      </c>
      <c r="E208" s="88">
        <v>2</v>
      </c>
      <c r="G208" s="88" t="str">
        <f t="shared" ca="1" si="65"/>
        <v>201</v>
      </c>
      <c r="H208" s="90" t="str">
        <f t="shared" ca="1" si="66"/>
        <v>CAL_PH_31</v>
      </c>
      <c r="I208" s="91" t="str">
        <f t="shared" ca="1" si="67"/>
        <v>0</v>
      </c>
      <c r="J208" s="92" t="s">
        <v>17</v>
      </c>
      <c r="K208" s="92">
        <f t="shared" ca="1" si="68"/>
        <v>0</v>
      </c>
      <c r="L208" s="94">
        <f t="shared" ca="1" si="70"/>
        <v>0</v>
      </c>
      <c r="Q208" s="88"/>
      <c r="R208" s="90"/>
      <c r="S208" s="91"/>
      <c r="T208" s="92"/>
      <c r="U208" s="92"/>
      <c r="V208" s="94"/>
      <c r="X208" s="88">
        <f t="shared" si="74"/>
        <v>333</v>
      </c>
      <c r="Y208" s="88">
        <v>2</v>
      </c>
      <c r="AA208" s="88" t="str">
        <f t="shared" ca="1" si="72"/>
        <v>201</v>
      </c>
      <c r="AB208" s="90" t="str">
        <f t="shared" ca="1" si="71"/>
        <v>RESERVED_A201</v>
      </c>
      <c r="AC208" s="91" t="str">
        <f t="shared" ca="1" si="69"/>
        <v>0</v>
      </c>
      <c r="AD208" s="92" t="s">
        <v>17</v>
      </c>
      <c r="AE208" s="92">
        <f t="shared" ca="1" si="64"/>
        <v>0</v>
      </c>
      <c r="AF208" s="94"/>
    </row>
    <row r="209" spans="1:31">
      <c r="A209" s="79" t="str">
        <f>'CALIBRATION GUIDE'!B261</f>
        <v>0                  0                  807F6C01           0</v>
      </c>
      <c r="D209" s="88">
        <f t="shared" si="73"/>
        <v>127</v>
      </c>
      <c r="E209" s="88">
        <v>3</v>
      </c>
      <c r="G209" s="88" t="str">
        <f t="shared" ca="1" si="65"/>
        <v>202</v>
      </c>
      <c r="H209" s="90" t="str">
        <f t="shared" ca="1" si="66"/>
        <v>CAPTURE_CTRL</v>
      </c>
      <c r="I209" s="91" t="str">
        <f t="shared" ca="1" si="67"/>
        <v>0</v>
      </c>
      <c r="J209" s="92" t="s">
        <v>12</v>
      </c>
      <c r="K209" s="92">
        <f t="shared" ca="1" si="68"/>
        <v>0</v>
      </c>
      <c r="Q209" s="88"/>
      <c r="R209" s="90"/>
      <c r="S209" s="91"/>
      <c r="T209" s="92"/>
      <c r="U209" s="92"/>
      <c r="X209" s="88">
        <f t="shared" si="74"/>
        <v>333</v>
      </c>
      <c r="Y209" s="88">
        <v>3</v>
      </c>
      <c r="AA209" s="88" t="str">
        <f t="shared" ca="1" si="72"/>
        <v>202</v>
      </c>
      <c r="AB209" s="90" t="str">
        <f t="shared" ca="1" si="71"/>
        <v>RESERVED_A202</v>
      </c>
      <c r="AC209" s="91" t="str">
        <f t="shared" ca="1" si="69"/>
        <v>0</v>
      </c>
      <c r="AD209" s="92" t="s">
        <v>12</v>
      </c>
      <c r="AE209" s="92">
        <f t="shared" ref="AE209:AE222" ca="1" si="75">(HEX2DEC(LEFT(REPT("0",16-LEN(AC209))&amp;AC209,10))*16^6+HEX2DEC(RIGHT(AC209,6)))/2^(0+MID(AD209,FIND(".",AD209)+1,2))</f>
        <v>0</v>
      </c>
    </row>
    <row r="210" spans="1:31">
      <c r="A210" s="79" t="str">
        <f>'CALIBRATION GUIDE'!B262</f>
        <v>080 RESERVED_S80   081 RESERVED_S81   082 PULSE0_COUNTER 083 PULSE1_COUNTER</v>
      </c>
      <c r="D210" s="88">
        <f t="shared" si="73"/>
        <v>127</v>
      </c>
      <c r="E210" s="88">
        <v>4</v>
      </c>
      <c r="G210" s="88" t="str">
        <f t="shared" ca="1" si="65"/>
        <v>203</v>
      </c>
      <c r="H210" s="90" t="str">
        <f t="shared" ca="1" si="66"/>
        <v>CAPTURE_CH_SEL</v>
      </c>
      <c r="I210" s="91" t="str">
        <f t="shared" ca="1" si="67"/>
        <v>FF</v>
      </c>
      <c r="J210" s="92" t="s">
        <v>12</v>
      </c>
      <c r="K210" s="92">
        <f t="shared" ca="1" si="68"/>
        <v>5.9371814131736755E-8</v>
      </c>
      <c r="Q210" s="88"/>
      <c r="R210" s="90"/>
      <c r="S210" s="91"/>
      <c r="T210" s="92"/>
      <c r="U210" s="92"/>
      <c r="X210" s="88">
        <f t="shared" si="74"/>
        <v>333</v>
      </c>
      <c r="Y210" s="88">
        <v>4</v>
      </c>
      <c r="AA210" s="88" t="str">
        <f t="shared" ca="1" si="72"/>
        <v>203</v>
      </c>
      <c r="AB210" s="90" t="str">
        <f t="shared" ca="1" si="71"/>
        <v>RESERVED_A203</v>
      </c>
      <c r="AC210" s="91" t="str">
        <f t="shared" ca="1" si="69"/>
        <v>0</v>
      </c>
      <c r="AD210" s="92" t="s">
        <v>12</v>
      </c>
      <c r="AE210" s="92">
        <f t="shared" ca="1" si="75"/>
        <v>0</v>
      </c>
    </row>
    <row r="211" spans="1:31">
      <c r="A211" s="79" t="str">
        <f>'CALIBRATION GUIDE'!B263</f>
        <v>0                  0                  1737               2175</v>
      </c>
      <c r="D211" s="88">
        <f t="shared" si="73"/>
        <v>129</v>
      </c>
      <c r="E211" s="88">
        <v>1</v>
      </c>
      <c r="G211" s="88" t="str">
        <f t="shared" ca="1" si="65"/>
        <v>204</v>
      </c>
      <c r="H211" s="90" t="str">
        <f t="shared" ca="1" si="66"/>
        <v>CAPT_BUFF_SIZE</v>
      </c>
      <c r="I211" s="91" t="str">
        <f t="shared" ca="1" si="67"/>
        <v>A00</v>
      </c>
      <c r="J211" s="92" t="s">
        <v>12</v>
      </c>
      <c r="K211" s="92">
        <f t="shared" ca="1" si="68"/>
        <v>5.9604644775390625E-7</v>
      </c>
      <c r="Q211" s="88"/>
      <c r="R211" s="90"/>
      <c r="S211" s="91"/>
      <c r="T211" s="92"/>
      <c r="U211" s="92"/>
      <c r="X211" s="88">
        <f t="shared" si="74"/>
        <v>335</v>
      </c>
      <c r="Y211" s="88">
        <v>1</v>
      </c>
      <c r="AA211" s="88" t="str">
        <f t="shared" ca="1" si="72"/>
        <v>204</v>
      </c>
      <c r="AB211" s="90" t="str">
        <f t="shared" ca="1" si="71"/>
        <v>RESERVED_A204</v>
      </c>
      <c r="AC211" s="91" t="str">
        <f t="shared" ca="1" si="69"/>
        <v>0</v>
      </c>
      <c r="AD211" s="92" t="s">
        <v>12</v>
      </c>
      <c r="AE211" s="92">
        <f t="shared" ca="1" si="75"/>
        <v>0</v>
      </c>
    </row>
    <row r="212" spans="1:31">
      <c r="A212" s="79" t="str">
        <f>'CALIBRATION GUIDE'!B264</f>
        <v>084 PULSE2_COUNTER 085 RESERVED_S85   086 RESERVED_S86   087 ZC_N_CH0</v>
      </c>
      <c r="D212" s="88">
        <f t="shared" si="73"/>
        <v>129</v>
      </c>
      <c r="E212" s="88">
        <v>2</v>
      </c>
      <c r="G212" s="88" t="str">
        <f t="shared" ca="1" si="65"/>
        <v>205</v>
      </c>
      <c r="H212" s="90" t="str">
        <f t="shared" ca="1" si="66"/>
        <v>CAPTURE_ADDR</v>
      </c>
      <c r="I212" s="91" t="str">
        <f t="shared" ca="1" si="67"/>
        <v>20001BB0</v>
      </c>
      <c r="J212" s="92" t="s">
        <v>12</v>
      </c>
      <c r="K212" s="92">
        <f t="shared" ca="1" si="68"/>
        <v>0.12500165030360222</v>
      </c>
      <c r="Q212" s="88"/>
      <c r="R212" s="90"/>
      <c r="S212" s="91"/>
      <c r="T212" s="92"/>
      <c r="U212" s="92"/>
      <c r="X212" s="88">
        <f t="shared" si="74"/>
        <v>335</v>
      </c>
      <c r="Y212" s="88">
        <v>2</v>
      </c>
      <c r="AA212" s="88" t="str">
        <f t="shared" ca="1" si="72"/>
        <v>205</v>
      </c>
      <c r="AB212" s="90" t="str">
        <f t="shared" ca="1" si="71"/>
        <v>RESERVED_A205</v>
      </c>
      <c r="AC212" s="91" t="str">
        <f t="shared" ca="1" si="69"/>
        <v>0</v>
      </c>
      <c r="AD212" s="92" t="s">
        <v>12</v>
      </c>
      <c r="AE212" s="92">
        <f t="shared" ca="1" si="75"/>
        <v>0</v>
      </c>
    </row>
    <row r="213" spans="1:31">
      <c r="A213" s="79" t="str">
        <f>'CALIBRATION GUIDE'!B265</f>
        <v>0                  0                  0                  31FB70</v>
      </c>
      <c r="D213" s="88">
        <f t="shared" si="73"/>
        <v>129</v>
      </c>
      <c r="E213" s="88">
        <v>3</v>
      </c>
      <c r="G213" s="88" t="str">
        <f t="shared" ca="1" si="65"/>
        <v>206</v>
      </c>
      <c r="H213" s="90" t="str">
        <f t="shared" ca="1" si="66"/>
        <v>RESERVED_C202</v>
      </c>
      <c r="I213" s="91" t="str">
        <f t="shared" ca="1" si="67"/>
        <v>0</v>
      </c>
      <c r="J213" s="92" t="s">
        <v>12</v>
      </c>
      <c r="K213" s="92">
        <f t="shared" ca="1" si="68"/>
        <v>0</v>
      </c>
      <c r="Q213" s="88"/>
      <c r="R213" s="90"/>
      <c r="S213" s="91"/>
      <c r="T213" s="92"/>
      <c r="U213" s="92"/>
      <c r="X213" s="88">
        <f t="shared" si="74"/>
        <v>335</v>
      </c>
      <c r="Y213" s="88">
        <v>3</v>
      </c>
      <c r="AA213" s="88" t="str">
        <f t="shared" ca="1" si="72"/>
        <v>206</v>
      </c>
      <c r="AB213" s="90" t="str">
        <f t="shared" ca="1" si="71"/>
        <v>RESERVED_A206</v>
      </c>
      <c r="AC213" s="91" t="str">
        <f t="shared" ca="1" si="69"/>
        <v>0</v>
      </c>
      <c r="AD213" s="92" t="s">
        <v>12</v>
      </c>
      <c r="AE213" s="92">
        <f t="shared" ca="1" si="75"/>
        <v>0</v>
      </c>
    </row>
    <row r="214" spans="1:31">
      <c r="A214" s="79" t="str">
        <f>'CALIBRATION GUIDE'!B266</f>
        <v>088 ZC_N_CH1       089 ZC_N_CH2       090 ZC_N_CH3       091 ZC_N_CH4</v>
      </c>
      <c r="D214" s="88">
        <f t="shared" si="73"/>
        <v>129</v>
      </c>
      <c r="E214" s="88">
        <v>4</v>
      </c>
      <c r="G214" s="88" t="str">
        <f t="shared" ca="1" si="65"/>
        <v>207</v>
      </c>
      <c r="H214" s="90" t="str">
        <f t="shared" ca="1" si="66"/>
        <v>RESERVED_C203</v>
      </c>
      <c r="I214" s="91" t="str">
        <f t="shared" ca="1" si="67"/>
        <v>0</v>
      </c>
      <c r="J214" s="92" t="s">
        <v>12</v>
      </c>
      <c r="K214" s="92">
        <f t="shared" ca="1" si="68"/>
        <v>0</v>
      </c>
      <c r="Q214" s="88"/>
      <c r="R214" s="90"/>
      <c r="S214" s="91"/>
      <c r="T214" s="92"/>
      <c r="U214" s="92"/>
      <c r="X214" s="88">
        <f t="shared" si="74"/>
        <v>335</v>
      </c>
      <c r="Y214" s="88">
        <v>4</v>
      </c>
      <c r="AA214" s="88" t="str">
        <f t="shared" ca="1" si="72"/>
        <v>207</v>
      </c>
      <c r="AB214" s="90" t="str">
        <f t="shared" ca="1" si="71"/>
        <v>RESERVED_A207</v>
      </c>
      <c r="AC214" s="91" t="str">
        <f t="shared" ca="1" si="69"/>
        <v>0</v>
      </c>
      <c r="AD214" s="92" t="s">
        <v>12</v>
      </c>
      <c r="AE214" s="92">
        <f t="shared" ca="1" si="75"/>
        <v>0</v>
      </c>
    </row>
    <row r="215" spans="1:31">
      <c r="A215" s="79" t="str">
        <f>'CALIBRATION GUIDE'!B267</f>
        <v>33A634             3050CA             0                  0</v>
      </c>
      <c r="D215" s="88">
        <f t="shared" si="73"/>
        <v>131</v>
      </c>
      <c r="E215" s="88">
        <v>1</v>
      </c>
      <c r="G215" s="88" t="str">
        <f t="shared" ca="1" si="65"/>
        <v>208</v>
      </c>
      <c r="H215" s="90" t="str">
        <f t="shared" ca="1" si="66"/>
        <v>RESERVED_C204</v>
      </c>
      <c r="I215" s="91" t="str">
        <f t="shared" ca="1" si="67"/>
        <v>0</v>
      </c>
      <c r="J215" s="92" t="s">
        <v>12</v>
      </c>
      <c r="K215" s="92">
        <f t="shared" ca="1" si="68"/>
        <v>0</v>
      </c>
      <c r="Q215" s="88"/>
      <c r="R215" s="90"/>
      <c r="S215" s="91"/>
      <c r="T215" s="92"/>
      <c r="U215" s="92"/>
      <c r="X215" s="88">
        <f t="shared" si="74"/>
        <v>337</v>
      </c>
      <c r="Y215" s="88">
        <v>1</v>
      </c>
      <c r="AA215" s="88" t="str">
        <f t="shared" ca="1" si="72"/>
        <v>208</v>
      </c>
      <c r="AB215" s="90" t="str">
        <f t="shared" ca="1" si="71"/>
        <v>RESERVED_A208</v>
      </c>
      <c r="AC215" s="91" t="str">
        <f t="shared" ca="1" si="69"/>
        <v>0</v>
      </c>
      <c r="AD215" s="92" t="s">
        <v>12</v>
      </c>
      <c r="AE215" s="92">
        <f t="shared" ca="1" si="75"/>
        <v>0</v>
      </c>
    </row>
    <row r="216" spans="1:31">
      <c r="A216" s="79" t="str">
        <f>'CALIBRATION GUIDE'!B268</f>
        <v>092 ZC_N_CH5       093 ZC_N_CH6       094 ZC_N_CH7       095 ZC_N_CH8</v>
      </c>
      <c r="D216" s="88">
        <f t="shared" si="73"/>
        <v>131</v>
      </c>
      <c r="E216" s="88">
        <v>2</v>
      </c>
      <c r="G216" s="88" t="str">
        <f t="shared" ca="1" si="65"/>
        <v>209</v>
      </c>
      <c r="H216" s="90" t="str">
        <f t="shared" ca="1" si="66"/>
        <v>MCP_GAIN_0</v>
      </c>
      <c r="I216" s="91" t="str">
        <f t="shared" ca="1" si="67"/>
        <v>0</v>
      </c>
      <c r="J216" s="92" t="s">
        <v>12</v>
      </c>
      <c r="K216" s="92">
        <f t="shared" ca="1" si="68"/>
        <v>0</v>
      </c>
      <c r="Q216" s="88"/>
      <c r="R216" s="90"/>
      <c r="S216" s="91"/>
      <c r="T216" s="92"/>
      <c r="U216" s="92"/>
      <c r="X216" s="88">
        <f t="shared" si="74"/>
        <v>337</v>
      </c>
      <c r="Y216" s="88">
        <v>2</v>
      </c>
      <c r="AA216" s="88" t="str">
        <f t="shared" ca="1" si="72"/>
        <v>209</v>
      </c>
      <c r="AB216" s="90" t="str">
        <f t="shared" ca="1" si="71"/>
        <v>RESERVED_A209</v>
      </c>
      <c r="AC216" s="91" t="str">
        <f t="shared" ca="1" si="69"/>
        <v>0</v>
      </c>
      <c r="AD216" s="92" t="s">
        <v>12</v>
      </c>
      <c r="AE216" s="92">
        <f t="shared" ca="1" si="75"/>
        <v>0</v>
      </c>
    </row>
    <row r="217" spans="1:31">
      <c r="A217" s="79" t="str">
        <f>'CALIBRATION GUIDE'!B269</f>
        <v>0                  0                  354000             0</v>
      </c>
      <c r="D217" s="88">
        <f t="shared" si="73"/>
        <v>131</v>
      </c>
      <c r="E217" s="88">
        <v>3</v>
      </c>
      <c r="G217" s="88" t="str">
        <f t="shared" ca="1" si="65"/>
        <v>210</v>
      </c>
      <c r="H217" s="90" t="str">
        <f t="shared" ca="1" si="66"/>
        <v>MCP_GAIN_1</v>
      </c>
      <c r="I217" s="91" t="str">
        <f t="shared" ca="1" si="67"/>
        <v>0</v>
      </c>
      <c r="J217" s="92" t="s">
        <v>12</v>
      </c>
      <c r="K217" s="92">
        <f t="shared" ca="1" si="68"/>
        <v>0</v>
      </c>
      <c r="Q217" s="88"/>
      <c r="R217" s="90"/>
      <c r="S217" s="91"/>
      <c r="T217" s="92"/>
      <c r="U217" s="92"/>
      <c r="X217" s="88">
        <f t="shared" si="74"/>
        <v>337</v>
      </c>
      <c r="Y217" s="88">
        <v>3</v>
      </c>
      <c r="AA217" s="88" t="str">
        <f t="shared" ca="1" si="72"/>
        <v>210</v>
      </c>
      <c r="AB217" s="90" t="str">
        <f t="shared" ca="1" si="71"/>
        <v>RESERVED_A210</v>
      </c>
      <c r="AC217" s="91" t="str">
        <f t="shared" ca="1" si="69"/>
        <v>0</v>
      </c>
      <c r="AD217" s="92" t="s">
        <v>12</v>
      </c>
      <c r="AE217" s="92">
        <f t="shared" ca="1" si="75"/>
        <v>0</v>
      </c>
    </row>
    <row r="218" spans="1:31">
      <c r="A218" s="79" t="str">
        <f>'CALIBRATION GUIDE'!B270</f>
        <v>096 ZC_N_CH9       097 ZC_N_CH10      098 ZC_N_CH11      099 ZC_N_CH12</v>
      </c>
      <c r="D218" s="88">
        <f t="shared" si="73"/>
        <v>131</v>
      </c>
      <c r="E218" s="88">
        <v>4</v>
      </c>
      <c r="G218" s="88" t="str">
        <f t="shared" ca="1" si="65"/>
        <v>211</v>
      </c>
      <c r="H218" s="90" t="str">
        <f t="shared" ca="1" si="66"/>
        <v>MCP_GAIN_2</v>
      </c>
      <c r="I218" s="91" t="str">
        <f t="shared" ca="1" si="67"/>
        <v>0</v>
      </c>
      <c r="J218" s="92" t="s">
        <v>12</v>
      </c>
      <c r="K218" s="92">
        <f t="shared" ca="1" si="68"/>
        <v>0</v>
      </c>
      <c r="Q218" s="88"/>
      <c r="R218" s="90"/>
      <c r="S218" s="91"/>
      <c r="T218" s="92"/>
      <c r="U218" s="92"/>
      <c r="X218" s="88">
        <f t="shared" si="74"/>
        <v>337</v>
      </c>
      <c r="Y218" s="88">
        <v>4</v>
      </c>
      <c r="AA218" s="88" t="str">
        <f t="shared" ca="1" si="72"/>
        <v>211</v>
      </c>
      <c r="AB218" s="90" t="str">
        <f t="shared" ca="1" si="71"/>
        <v>RESERVED_A211</v>
      </c>
      <c r="AC218" s="91" t="str">
        <f t="shared" ca="1" si="69"/>
        <v>2A677D8EA63</v>
      </c>
      <c r="AD218" s="92" t="s">
        <v>12</v>
      </c>
      <c r="AE218" s="92">
        <f t="shared" ca="1" si="75"/>
        <v>678.46815361897461</v>
      </c>
    </row>
    <row r="219" spans="1:31">
      <c r="A219" s="79" t="str">
        <f>'CALIBRATION GUIDE'!B271</f>
        <v>0                  0                  0                  0</v>
      </c>
      <c r="D219" s="88">
        <f t="shared" si="73"/>
        <v>133</v>
      </c>
      <c r="E219" s="88">
        <v>1</v>
      </c>
      <c r="G219" s="88" t="str">
        <f t="shared" ca="1" si="65"/>
        <v>212</v>
      </c>
      <c r="H219" s="90" t="str">
        <f t="shared" ca="1" si="66"/>
        <v>MCP_GAIN_3</v>
      </c>
      <c r="I219" s="91" t="str">
        <f t="shared" ca="1" si="67"/>
        <v>0</v>
      </c>
      <c r="J219" s="92" t="s">
        <v>12</v>
      </c>
      <c r="K219" s="92">
        <f t="shared" ca="1" si="68"/>
        <v>0</v>
      </c>
      <c r="Q219" s="88"/>
      <c r="R219" s="90"/>
      <c r="S219" s="91"/>
      <c r="T219" s="92"/>
      <c r="U219" s="92"/>
      <c r="X219" s="88">
        <f t="shared" si="74"/>
        <v>339</v>
      </c>
      <c r="Y219" s="88">
        <v>1</v>
      </c>
      <c r="AA219" s="88" t="str">
        <f t="shared" ca="1" si="72"/>
        <v>212</v>
      </c>
      <c r="AB219" s="90" t="str">
        <f t="shared" ca="1" si="71"/>
        <v>RESERVED_A212</v>
      </c>
      <c r="AC219" s="91" t="str">
        <f t="shared" ca="1" si="69"/>
        <v>2A7A7300CAB</v>
      </c>
      <c r="AD219" s="92" t="s">
        <v>12</v>
      </c>
      <c r="AE219" s="92">
        <f t="shared" ca="1" si="75"/>
        <v>679.65307692694478</v>
      </c>
    </row>
    <row r="220" spans="1:31">
      <c r="A220" s="79" t="str">
        <f>'CALIBRATION GUIDE'!B272</f>
        <v>100 ZC_N_CH13      101 ZC_N_CH14      102 ZC_N_CH15      103 ZC_N_CH16</v>
      </c>
      <c r="D220" s="88">
        <f t="shared" si="73"/>
        <v>133</v>
      </c>
      <c r="E220" s="88">
        <v>2</v>
      </c>
      <c r="G220" s="88" t="str">
        <f t="shared" ca="1" si="65"/>
        <v>213</v>
      </c>
      <c r="H220" s="90" t="str">
        <f t="shared" ca="1" si="66"/>
        <v>MCP_CONFIG0_0</v>
      </c>
      <c r="I220" s="91" t="str">
        <f t="shared" ca="1" si="67"/>
        <v>384050</v>
      </c>
      <c r="J220" s="92" t="s">
        <v>12</v>
      </c>
      <c r="K220" s="92">
        <f t="shared" ca="1" si="68"/>
        <v>8.5832551121711731E-4</v>
      </c>
      <c r="Q220" s="88"/>
      <c r="R220" s="90"/>
      <c r="S220" s="91"/>
      <c r="T220" s="92"/>
      <c r="U220" s="92"/>
      <c r="X220" s="88">
        <f t="shared" si="74"/>
        <v>339</v>
      </c>
      <c r="Y220" s="88">
        <v>2</v>
      </c>
      <c r="AA220" s="88" t="str">
        <f t="shared" ca="1" si="72"/>
        <v>213</v>
      </c>
      <c r="AB220" s="90" t="str">
        <f t="shared" ca="1" si="71"/>
        <v>RESERVED_A213</v>
      </c>
      <c r="AC220" s="91" t="str">
        <f t="shared" ca="1" si="69"/>
        <v>1D5AAA80BAE</v>
      </c>
      <c r="AD220" s="92" t="s">
        <v>12</v>
      </c>
      <c r="AE220" s="92">
        <f t="shared" ca="1" si="75"/>
        <v>469.66662667272612</v>
      </c>
    </row>
    <row r="221" spans="1:31">
      <c r="A221" s="79" t="str">
        <f>'CALIBRATION GUIDE'!B273</f>
        <v>0                  0                  0                  0</v>
      </c>
      <c r="D221" s="88">
        <f t="shared" si="73"/>
        <v>133</v>
      </c>
      <c r="E221" s="88">
        <v>3</v>
      </c>
      <c r="G221" s="88" t="str">
        <f t="shared" ca="1" si="65"/>
        <v>214</v>
      </c>
      <c r="H221" s="90" t="str">
        <f t="shared" ca="1" si="66"/>
        <v>MCP_CONFIG0_1</v>
      </c>
      <c r="I221" s="91" t="str">
        <f t="shared" ca="1" si="67"/>
        <v>384050</v>
      </c>
      <c r="J221" s="92" t="s">
        <v>12</v>
      </c>
      <c r="K221" s="92">
        <f t="shared" ca="1" si="68"/>
        <v>8.5832551121711731E-4</v>
      </c>
      <c r="Q221" s="88"/>
      <c r="R221" s="90"/>
      <c r="S221" s="91"/>
      <c r="T221" s="92"/>
      <c r="U221" s="92"/>
      <c r="X221" s="88">
        <f t="shared" si="74"/>
        <v>339</v>
      </c>
      <c r="Y221" s="88">
        <v>3</v>
      </c>
      <c r="AA221" s="88" t="str">
        <f t="shared" ca="1" si="72"/>
        <v>214</v>
      </c>
      <c r="AB221" s="90" t="str">
        <f t="shared" ca="1" si="71"/>
        <v>RESERVED_A214</v>
      </c>
      <c r="AC221" s="91" t="str">
        <f t="shared" ca="1" si="69"/>
        <v>1D65A3DA52B</v>
      </c>
      <c r="AD221" s="92" t="s">
        <v>12</v>
      </c>
      <c r="AE221" s="92">
        <f t="shared" ca="1" si="75"/>
        <v>470.35250313091092</v>
      </c>
    </row>
    <row r="222" spans="1:31">
      <c r="A222" s="79" t="str">
        <f>'CALIBRATION GUIDE'!B274</f>
        <v>104 ZC_N_CH17      105 ZC_N_CH18      106 ZC_N_CH19      107 ZC_N_CH20</v>
      </c>
      <c r="D222" s="88">
        <f t="shared" si="73"/>
        <v>133</v>
      </c>
      <c r="E222" s="88">
        <v>4</v>
      </c>
      <c r="G222" s="88" t="str">
        <f t="shared" ca="1" si="65"/>
        <v>215</v>
      </c>
      <c r="H222" s="90" t="str">
        <f t="shared" ca="1" si="66"/>
        <v>MCP_CONFIG0_2</v>
      </c>
      <c r="I222" s="91" t="str">
        <f t="shared" ca="1" si="67"/>
        <v>384050</v>
      </c>
      <c r="J222" s="92" t="s">
        <v>12</v>
      </c>
      <c r="K222" s="92">
        <f t="shared" ca="1" si="68"/>
        <v>8.5832551121711731E-4</v>
      </c>
      <c r="Q222" s="88"/>
      <c r="R222" s="90"/>
      <c r="S222" s="91"/>
      <c r="T222" s="92"/>
      <c r="U222" s="92"/>
      <c r="X222" s="88">
        <f t="shared" si="74"/>
        <v>339</v>
      </c>
      <c r="Y222" s="88">
        <v>4</v>
      </c>
      <c r="AA222" s="88" t="str">
        <f t="shared" ca="1" si="72"/>
        <v>215</v>
      </c>
      <c r="AB222" s="90" t="str">
        <f t="shared" ca="1" si="71"/>
        <v>RESERVED_A215</v>
      </c>
      <c r="AC222" s="91" t="str">
        <f t="shared" ca="1" si="69"/>
        <v>0</v>
      </c>
      <c r="AD222" s="92" t="s">
        <v>12</v>
      </c>
      <c r="AE222" s="92">
        <f t="shared" ca="1" si="75"/>
        <v>0</v>
      </c>
    </row>
    <row r="223" spans="1:31">
      <c r="A223" s="79" t="str">
        <f>'CALIBRATION GUIDE'!B275</f>
        <v>0                  0                  0                  0</v>
      </c>
      <c r="D223" s="88">
        <f t="shared" si="73"/>
        <v>135</v>
      </c>
      <c r="E223" s="88">
        <v>1</v>
      </c>
      <c r="G223" s="88" t="str">
        <f t="shared" ca="1" si="65"/>
        <v>216</v>
      </c>
      <c r="H223" s="90" t="str">
        <f t="shared" ca="1" si="66"/>
        <v>MCP_CONFIG0_3</v>
      </c>
      <c r="I223" s="91" t="str">
        <f t="shared" ca="1" si="67"/>
        <v>384050</v>
      </c>
      <c r="J223" s="92" t="s">
        <v>12</v>
      </c>
      <c r="K223" s="92">
        <f t="shared" ca="1" si="68"/>
        <v>8.5832551121711731E-4</v>
      </c>
      <c r="Q223" s="88"/>
      <c r="R223" s="90"/>
      <c r="S223" s="91"/>
      <c r="T223" s="92"/>
      <c r="U223" s="92"/>
      <c r="AA223" s="88"/>
      <c r="AB223" s="90"/>
      <c r="AC223" s="91"/>
      <c r="AD223" s="92"/>
      <c r="AE223" s="92"/>
    </row>
    <row r="224" spans="1:31">
      <c r="A224" s="79" t="str">
        <f>'CALIBRATION GUIDE'!B276</f>
        <v>108 ZC_N_CH21      109 ZC_N_CH22      110 ZC_N_CH23      111 ZC_N_CH24</v>
      </c>
      <c r="D224" s="88">
        <f t="shared" si="73"/>
        <v>135</v>
      </c>
      <c r="E224" s="88">
        <v>2</v>
      </c>
      <c r="G224" s="88" t="str">
        <f t="shared" ca="1" si="65"/>
        <v>217</v>
      </c>
      <c r="H224" s="90" t="str">
        <f t="shared" ca="1" si="66"/>
        <v>RESERVED_C217</v>
      </c>
      <c r="I224" s="91" t="str">
        <f t="shared" ca="1" si="67"/>
        <v>0</v>
      </c>
      <c r="J224" s="92" t="s">
        <v>12</v>
      </c>
      <c r="K224" s="92">
        <f t="shared" ca="1" si="68"/>
        <v>0</v>
      </c>
      <c r="Q224" s="88"/>
      <c r="R224" s="90"/>
      <c r="S224" s="91"/>
      <c r="T224" s="92"/>
      <c r="U224" s="92"/>
      <c r="AA224" s="88"/>
      <c r="AB224" s="90"/>
      <c r="AC224" s="91"/>
      <c r="AD224" s="92"/>
      <c r="AE224" s="92"/>
    </row>
    <row r="225" spans="1:31">
      <c r="A225" s="79" t="str">
        <f>'CALIBRATION GUIDE'!B277</f>
        <v>0                  0                  0                  0</v>
      </c>
      <c r="D225" s="88">
        <f t="shared" si="73"/>
        <v>135</v>
      </c>
      <c r="E225" s="88">
        <v>3</v>
      </c>
      <c r="G225" s="88" t="str">
        <f t="shared" ca="1" si="65"/>
        <v>218</v>
      </c>
      <c r="H225" s="90" t="str">
        <f t="shared" ca="1" si="66"/>
        <v>PW_OFFSET_P_00</v>
      </c>
      <c r="I225" s="91" t="str">
        <f t="shared" ca="1" si="67"/>
        <v>0</v>
      </c>
      <c r="J225" s="92" t="s">
        <v>11</v>
      </c>
      <c r="K225" s="92">
        <f t="shared" ca="1" si="68"/>
        <v>0</v>
      </c>
      <c r="Q225" s="88"/>
      <c r="R225" s="90"/>
      <c r="S225" s="91"/>
      <c r="T225" s="92"/>
      <c r="U225" s="92"/>
      <c r="AA225" s="88"/>
      <c r="AB225" s="90"/>
      <c r="AC225" s="91"/>
      <c r="AD225" s="92"/>
      <c r="AE225" s="92"/>
    </row>
    <row r="226" spans="1:31">
      <c r="A226" s="79" t="str">
        <f>'CALIBRATION GUIDE'!B278</f>
        <v>112 ZC_N_CH25      113 ZC_N_CH26      114 ZC_N_CH27      115 ZC_N_CH28</v>
      </c>
      <c r="D226" s="88">
        <f t="shared" si="73"/>
        <v>135</v>
      </c>
      <c r="E226" s="88">
        <v>4</v>
      </c>
      <c r="G226" s="88" t="str">
        <f t="shared" ca="1" si="65"/>
        <v>219</v>
      </c>
      <c r="H226" s="90" t="str">
        <f t="shared" ca="1" si="66"/>
        <v>PW_OFFSET_P_01</v>
      </c>
      <c r="I226" s="91" t="str">
        <f t="shared" ca="1" si="67"/>
        <v>0</v>
      </c>
      <c r="J226" s="92" t="s">
        <v>11</v>
      </c>
      <c r="K226" s="92">
        <f t="shared" ca="1" si="68"/>
        <v>0</v>
      </c>
      <c r="Q226" s="88"/>
      <c r="R226" s="90"/>
      <c r="S226" s="91"/>
      <c r="T226" s="92"/>
      <c r="U226" s="92"/>
      <c r="AA226" s="88"/>
      <c r="AB226" s="90"/>
      <c r="AC226" s="91"/>
      <c r="AD226" s="92"/>
      <c r="AE226" s="92"/>
    </row>
    <row r="227" spans="1:31">
      <c r="A227" s="79" t="str">
        <f>'CALIBRATION GUIDE'!B279</f>
        <v>0                  0                  0                  0</v>
      </c>
      <c r="D227" s="88">
        <f t="shared" si="73"/>
        <v>137</v>
      </c>
      <c r="E227" s="88">
        <v>1</v>
      </c>
      <c r="G227" s="88" t="str">
        <f t="shared" ca="1" si="65"/>
        <v>220</v>
      </c>
      <c r="H227" s="90" t="str">
        <f t="shared" ca="1" si="66"/>
        <v>PW_OFFSET_P_02</v>
      </c>
      <c r="I227" s="91" t="str">
        <f t="shared" ca="1" si="67"/>
        <v>0</v>
      </c>
      <c r="J227" s="92" t="s">
        <v>11</v>
      </c>
      <c r="K227" s="92">
        <f t="shared" ca="1" si="68"/>
        <v>0</v>
      </c>
      <c r="Q227" s="88"/>
      <c r="R227" s="90"/>
      <c r="S227" s="91"/>
      <c r="T227" s="92"/>
      <c r="U227" s="92"/>
      <c r="AA227" s="88"/>
      <c r="AB227" s="90"/>
      <c r="AC227" s="91"/>
      <c r="AD227" s="92"/>
      <c r="AE227" s="92"/>
    </row>
    <row r="228" spans="1:31">
      <c r="A228" s="79" t="str">
        <f>'CALIBRATION GUIDE'!B280</f>
        <v>116 ZC_N_CH29      117 ZC_N_CH30      118 ZC_N_CH31      119 RESERVED_S119</v>
      </c>
      <c r="D228" s="88">
        <f t="shared" si="73"/>
        <v>137</v>
      </c>
      <c r="E228" s="88">
        <v>2</v>
      </c>
      <c r="G228" s="88" t="str">
        <f t="shared" ca="1" si="65"/>
        <v>221</v>
      </c>
      <c r="H228" s="90" t="str">
        <f t="shared" ca="1" si="66"/>
        <v>PW_OFFSET_P_03</v>
      </c>
      <c r="I228" s="91" t="str">
        <f t="shared" ca="1" si="67"/>
        <v>0</v>
      </c>
      <c r="J228" s="92" t="s">
        <v>11</v>
      </c>
      <c r="K228" s="92">
        <f t="shared" ca="1" si="68"/>
        <v>0</v>
      </c>
      <c r="Q228" s="88"/>
      <c r="R228" s="90"/>
      <c r="S228" s="91"/>
      <c r="T228" s="92"/>
      <c r="U228" s="92"/>
      <c r="AA228" s="88"/>
      <c r="AB228" s="90"/>
      <c r="AC228" s="91"/>
      <c r="AD228" s="92"/>
      <c r="AE228" s="92"/>
    </row>
    <row r="229" spans="1:31">
      <c r="A229" s="79" t="str">
        <f>'CALIBRATION GUIDE'!B281</f>
        <v>0                  0                  0                  0</v>
      </c>
      <c r="D229" s="88">
        <f t="shared" si="73"/>
        <v>137</v>
      </c>
      <c r="E229" s="88">
        <v>3</v>
      </c>
      <c r="G229" s="88" t="str">
        <f t="shared" ca="1" si="65"/>
        <v>222</v>
      </c>
      <c r="H229" s="90" t="str">
        <f t="shared" ca="1" si="66"/>
        <v>PW_OFFSET_P_04</v>
      </c>
      <c r="I229" s="91" t="str">
        <f t="shared" ca="1" si="67"/>
        <v>0</v>
      </c>
      <c r="J229" s="92" t="s">
        <v>11</v>
      </c>
      <c r="K229" s="92">
        <f t="shared" ca="1" si="68"/>
        <v>0</v>
      </c>
      <c r="Q229" s="88"/>
      <c r="R229" s="90"/>
      <c r="S229" s="91"/>
      <c r="T229" s="92"/>
      <c r="U229" s="92"/>
      <c r="AA229" s="88"/>
      <c r="AB229" s="90"/>
      <c r="AC229" s="91"/>
      <c r="AD229" s="92"/>
      <c r="AE229" s="92"/>
    </row>
    <row r="230" spans="1:31">
      <c r="A230" s="79" t="str">
        <f>'CALIBRATION GUIDE'!B282</f>
        <v>120 RESERVED_S120  121 RESERVED_S121</v>
      </c>
      <c r="D230" s="88">
        <f t="shared" si="73"/>
        <v>137</v>
      </c>
      <c r="E230" s="88">
        <v>4</v>
      </c>
      <c r="G230" s="88" t="str">
        <f t="shared" ca="1" si="65"/>
        <v>223</v>
      </c>
      <c r="H230" s="90" t="str">
        <f t="shared" ca="1" si="66"/>
        <v>PW_OFFSET_P_05</v>
      </c>
      <c r="I230" s="91" t="str">
        <f t="shared" ca="1" si="67"/>
        <v>0</v>
      </c>
      <c r="J230" s="92" t="s">
        <v>11</v>
      </c>
      <c r="K230" s="92">
        <f t="shared" ca="1" si="68"/>
        <v>0</v>
      </c>
      <c r="Q230" s="88"/>
      <c r="R230" s="90"/>
      <c r="S230" s="91"/>
      <c r="T230" s="92"/>
      <c r="U230" s="92"/>
      <c r="AA230" s="88"/>
      <c r="AB230" s="90"/>
      <c r="AC230" s="91"/>
      <c r="AD230" s="92"/>
      <c r="AE230" s="92"/>
    </row>
    <row r="231" spans="1:31">
      <c r="A231" s="79" t="str">
        <f>'CALIBRATION GUIDE'!B283</f>
        <v>0                  0</v>
      </c>
      <c r="D231" s="88">
        <f t="shared" si="73"/>
        <v>139</v>
      </c>
      <c r="E231" s="88">
        <v>1</v>
      </c>
      <c r="G231" s="88" t="str">
        <f t="shared" ca="1" si="65"/>
        <v>224</v>
      </c>
      <c r="H231" s="90" t="str">
        <f t="shared" ca="1" si="66"/>
        <v>PW_OFFSET_P_06</v>
      </c>
      <c r="I231" s="91" t="str">
        <f t="shared" ca="1" si="67"/>
        <v>0</v>
      </c>
      <c r="J231" s="92" t="s">
        <v>11</v>
      </c>
      <c r="K231" s="92">
        <f t="shared" ca="1" si="68"/>
        <v>0</v>
      </c>
      <c r="Q231" s="88"/>
      <c r="R231" s="90"/>
      <c r="S231" s="91"/>
      <c r="T231" s="92"/>
      <c r="U231" s="92"/>
      <c r="AA231" s="88"/>
      <c r="AB231" s="90"/>
      <c r="AC231" s="91"/>
      <c r="AD231" s="92"/>
      <c r="AE231" s="92"/>
    </row>
    <row r="232" spans="1:31">
      <c r="A232" s="25" t="str">
        <f>'CALIBRATION GUIDE'!B285</f>
        <v>DAR</v>
      </c>
      <c r="D232" s="88">
        <f t="shared" si="73"/>
        <v>139</v>
      </c>
      <c r="E232" s="88">
        <v>2</v>
      </c>
      <c r="G232" s="88" t="str">
        <f t="shared" ref="G232:G236" ca="1" si="76">MID(INDIRECT(ADDRESS(D232,1)),(E232-1)*19+1,3)</f>
        <v>225</v>
      </c>
      <c r="H232" s="90" t="str">
        <f t="shared" ref="H232:H236" ca="1" si="77">TRIM(MID(INDIRECT(ADDRESS(D232,1)),(E232-1)*19+4,16))</f>
        <v>PW_OFFSET_P_07</v>
      </c>
      <c r="I232" s="91" t="str">
        <f t="shared" ref="I232:I236" ca="1" si="78">TRIM(MID(INDIRECT(ADDRESS(D232+1,1)),(E232-1)*19+1,19))</f>
        <v>0</v>
      </c>
      <c r="J232" s="92" t="s">
        <v>11</v>
      </c>
      <c r="K232" s="92">
        <f t="shared" ref="K232:K250" ca="1" si="79">HEX2DEC(IF(AND(LEN(I232)=8,HEX2DEC(LEFT(I232,1))&gt;7),"FF","00")&amp;I232)/2^(0+MID(J232,FIND(".",J232)+1,2))</f>
        <v>0</v>
      </c>
      <c r="Q232" s="88"/>
      <c r="R232" s="90"/>
      <c r="S232" s="91"/>
      <c r="T232" s="92"/>
      <c r="U232" s="92"/>
      <c r="AA232" s="88"/>
      <c r="AB232" s="90"/>
      <c r="AC232" s="91"/>
      <c r="AD232" s="92"/>
      <c r="AE232" s="92"/>
    </row>
    <row r="233" spans="1:31">
      <c r="A233" s="79" t="str">
        <f>'CALIBRATION GUIDE'!B286</f>
        <v>000 CH0            001 CH1            002 CH2            003 CH3</v>
      </c>
      <c r="D233" s="88">
        <f t="shared" si="73"/>
        <v>139</v>
      </c>
      <c r="E233" s="88">
        <v>3</v>
      </c>
      <c r="G233" s="88" t="str">
        <f t="shared" ca="1" si="76"/>
        <v>226</v>
      </c>
      <c r="H233" s="90" t="str">
        <f t="shared" ca="1" si="77"/>
        <v>PW_OFFSET_P_08</v>
      </c>
      <c r="I233" s="91" t="str">
        <f t="shared" ca="1" si="78"/>
        <v>0</v>
      </c>
      <c r="J233" s="92" t="s">
        <v>11</v>
      </c>
      <c r="K233" s="92">
        <f t="shared" ca="1" si="79"/>
        <v>0</v>
      </c>
      <c r="Q233" s="88"/>
      <c r="R233" s="90"/>
      <c r="S233" s="91"/>
      <c r="T233" s="92"/>
      <c r="U233" s="92"/>
      <c r="AA233" s="88"/>
      <c r="AB233" s="90"/>
      <c r="AC233" s="91"/>
      <c r="AD233" s="92"/>
      <c r="AE233" s="92"/>
    </row>
    <row r="234" spans="1:31">
      <c r="A234" s="79" t="str">
        <f>'CALIBRATION GUIDE'!B287</f>
        <v>43E625E2D4D1       43F28B30BCA2       43FB144B5222       9D576EF0D84</v>
      </c>
      <c r="D234" s="88">
        <f t="shared" si="73"/>
        <v>139</v>
      </c>
      <c r="E234" s="88">
        <v>4</v>
      </c>
      <c r="G234" s="88" t="str">
        <f t="shared" ca="1" si="76"/>
        <v>227</v>
      </c>
      <c r="H234" s="90" t="str">
        <f t="shared" ca="1" si="77"/>
        <v>PW_OFFSET_P_09</v>
      </c>
      <c r="I234" s="91" t="str">
        <f t="shared" ca="1" si="78"/>
        <v>0</v>
      </c>
      <c r="J234" s="92" t="s">
        <v>11</v>
      </c>
      <c r="K234" s="92">
        <f t="shared" ca="1" si="79"/>
        <v>0</v>
      </c>
      <c r="Q234" s="88"/>
      <c r="R234" s="90"/>
      <c r="S234" s="91"/>
      <c r="T234" s="92"/>
      <c r="U234" s="92"/>
      <c r="AA234" s="88"/>
      <c r="AB234" s="90"/>
      <c r="AC234" s="91"/>
      <c r="AD234" s="92"/>
      <c r="AE234" s="92"/>
    </row>
    <row r="235" spans="1:31">
      <c r="A235" s="79" t="str">
        <f>'CALIBRATION GUIDE'!B288</f>
        <v>004 CH4            005 CH5            006 CH6            007 CH7</v>
      </c>
      <c r="D235" s="88">
        <f t="shared" si="73"/>
        <v>141</v>
      </c>
      <c r="E235" s="88">
        <v>1</v>
      </c>
      <c r="G235" s="88" t="str">
        <f t="shared" ca="1" si="76"/>
        <v>228</v>
      </c>
      <c r="H235" s="90" t="str">
        <f t="shared" ca="1" si="77"/>
        <v>PW_OFFSET_P_10</v>
      </c>
      <c r="I235" s="91" t="str">
        <f t="shared" ca="1" si="78"/>
        <v>0</v>
      </c>
      <c r="J235" s="92" t="s">
        <v>11</v>
      </c>
      <c r="K235" s="92">
        <f t="shared" ca="1" si="79"/>
        <v>0</v>
      </c>
      <c r="Q235" s="88"/>
      <c r="R235" s="90"/>
      <c r="S235" s="91"/>
      <c r="T235" s="92"/>
      <c r="U235" s="92"/>
      <c r="AA235" s="88"/>
      <c r="AB235" s="90"/>
      <c r="AC235" s="91"/>
      <c r="AD235" s="92"/>
      <c r="AE235" s="92"/>
    </row>
    <row r="236" spans="1:31">
      <c r="A236" s="79" t="str">
        <f>'CALIBRATION GUIDE'!B289</f>
        <v>9C7B46F175B        9C6F3742EA8        2705D              22FB8</v>
      </c>
      <c r="D236" s="88">
        <f t="shared" si="73"/>
        <v>141</v>
      </c>
      <c r="E236" s="88">
        <v>2</v>
      </c>
      <c r="G236" s="88" t="str">
        <f t="shared" ca="1" si="76"/>
        <v>229</v>
      </c>
      <c r="H236" s="90" t="str">
        <f t="shared" ca="1" si="77"/>
        <v>PW_OFFSET_P_11</v>
      </c>
      <c r="I236" s="91" t="str">
        <f t="shared" ca="1" si="78"/>
        <v>0</v>
      </c>
      <c r="J236" s="92" t="s">
        <v>11</v>
      </c>
      <c r="K236" s="92">
        <f t="shared" ca="1" si="79"/>
        <v>0</v>
      </c>
      <c r="Q236" s="88"/>
      <c r="R236" s="90"/>
      <c r="S236" s="91"/>
      <c r="T236" s="92"/>
      <c r="U236" s="92"/>
      <c r="AA236" s="88"/>
      <c r="AB236" s="90"/>
      <c r="AC236" s="91"/>
      <c r="AD236" s="92"/>
      <c r="AE236" s="92"/>
    </row>
    <row r="237" spans="1:31">
      <c r="A237" s="79" t="str">
        <f>'CALIBRATION GUIDE'!B290</f>
        <v>008 CH8            009 CH9            010 CH10           011 CH11</v>
      </c>
      <c r="D237" s="88">
        <f t="shared" si="73"/>
        <v>141</v>
      </c>
      <c r="E237" s="88">
        <v>3</v>
      </c>
      <c r="G237" s="88" t="str">
        <f t="shared" ref="G237:G250" ca="1" si="80">MID(INDIRECT(ADDRESS(D237,1)),(E237-1)*19+1,3)</f>
        <v>230</v>
      </c>
      <c r="H237" s="90" t="str">
        <f t="shared" ref="H237:H250" ca="1" si="81">TRIM(MID(INDIRECT(ADDRESS(D237,1)),(E237-1)*19+4,16))</f>
        <v>PW_OFFSET_P_12</v>
      </c>
      <c r="I237" s="91" t="str">
        <f t="shared" ref="I237:I250" ca="1" si="82">TRIM(MID(INDIRECT(ADDRESS(D237+1,1)),(E237-1)*19+1,19))</f>
        <v>0</v>
      </c>
      <c r="J237" s="92" t="s">
        <v>11</v>
      </c>
      <c r="K237" s="92">
        <f t="shared" ca="1" si="79"/>
        <v>0</v>
      </c>
      <c r="Q237" s="88"/>
      <c r="R237" s="90"/>
      <c r="S237" s="91"/>
      <c r="T237" s="92"/>
      <c r="U237" s="92"/>
      <c r="AA237" s="88"/>
      <c r="AB237" s="90"/>
      <c r="AC237" s="91"/>
      <c r="AD237" s="92"/>
      <c r="AE237" s="92"/>
    </row>
    <row r="238" spans="1:31">
      <c r="A238" s="79" t="str">
        <f>'CALIBRATION GUIDE'!B291</f>
        <v>0                  0                  0                  0</v>
      </c>
      <c r="D238" s="88">
        <f t="shared" si="73"/>
        <v>141</v>
      </c>
      <c r="E238" s="88">
        <v>4</v>
      </c>
      <c r="G238" s="88" t="str">
        <f t="shared" ca="1" si="80"/>
        <v>231</v>
      </c>
      <c r="H238" s="90" t="str">
        <f t="shared" ca="1" si="81"/>
        <v>PW_OFFSET_P_13</v>
      </c>
      <c r="I238" s="91" t="str">
        <f t="shared" ca="1" si="82"/>
        <v>0</v>
      </c>
      <c r="J238" s="92" t="s">
        <v>11</v>
      </c>
      <c r="K238" s="92">
        <f t="shared" ca="1" si="79"/>
        <v>0</v>
      </c>
      <c r="Q238" s="88"/>
      <c r="R238" s="90"/>
      <c r="S238" s="91"/>
      <c r="T238" s="92"/>
      <c r="U238" s="92"/>
      <c r="AA238" s="88"/>
      <c r="AB238" s="90"/>
      <c r="AC238" s="91"/>
      <c r="AD238" s="92"/>
      <c r="AE238" s="92"/>
    </row>
    <row r="239" spans="1:31">
      <c r="A239" s="79" t="str">
        <f>'CALIBRATION GUIDE'!B292</f>
        <v>012 CH12           013 CH13           014 CH14           015 CH15</v>
      </c>
      <c r="D239" s="88">
        <f t="shared" si="73"/>
        <v>143</v>
      </c>
      <c r="E239" s="88">
        <v>1</v>
      </c>
      <c r="G239" s="88" t="str">
        <f t="shared" ca="1" si="80"/>
        <v>232</v>
      </c>
      <c r="H239" s="90" t="str">
        <f t="shared" ca="1" si="81"/>
        <v>PW_OFFSET_P_14</v>
      </c>
      <c r="I239" s="91" t="str">
        <f t="shared" ca="1" si="82"/>
        <v>0</v>
      </c>
      <c r="J239" s="92" t="s">
        <v>11</v>
      </c>
      <c r="K239" s="92">
        <f t="shared" ca="1" si="79"/>
        <v>0</v>
      </c>
      <c r="Q239" s="88"/>
      <c r="R239" s="90"/>
      <c r="S239" s="91"/>
      <c r="T239" s="92"/>
      <c r="U239" s="92"/>
      <c r="AA239" s="88"/>
      <c r="AB239" s="90"/>
      <c r="AC239" s="91"/>
      <c r="AD239" s="92"/>
      <c r="AE239" s="92"/>
    </row>
    <row r="240" spans="1:31">
      <c r="A240" s="79" t="str">
        <f>'CALIBRATION GUIDE'!B293</f>
        <v>0                  0                  0                  0</v>
      </c>
      <c r="D240" s="88">
        <f t="shared" si="73"/>
        <v>143</v>
      </c>
      <c r="E240" s="88">
        <v>2</v>
      </c>
      <c r="G240" s="88" t="str">
        <f t="shared" ca="1" si="80"/>
        <v>233</v>
      </c>
      <c r="H240" s="90" t="str">
        <f t="shared" ca="1" si="81"/>
        <v>PW_OFFSET_P_15</v>
      </c>
      <c r="I240" s="91" t="str">
        <f t="shared" ca="1" si="82"/>
        <v>0</v>
      </c>
      <c r="J240" s="92" t="s">
        <v>11</v>
      </c>
      <c r="K240" s="92">
        <f t="shared" ca="1" si="79"/>
        <v>0</v>
      </c>
      <c r="Q240" s="88"/>
      <c r="R240" s="90"/>
      <c r="S240" s="91"/>
      <c r="T240" s="92"/>
      <c r="U240" s="92"/>
      <c r="AA240" s="88"/>
      <c r="AB240" s="90"/>
      <c r="AC240" s="91"/>
      <c r="AD240" s="92"/>
      <c r="AE240" s="92"/>
    </row>
    <row r="241" spans="1:31">
      <c r="A241" s="79" t="str">
        <f>'CALIBRATION GUIDE'!B294</f>
        <v>016 CH16           017 CH17           018 CH18           019 CH19</v>
      </c>
      <c r="D241" s="88">
        <f t="shared" si="73"/>
        <v>143</v>
      </c>
      <c r="E241" s="88">
        <v>3</v>
      </c>
      <c r="G241" s="88" t="str">
        <f t="shared" ca="1" si="80"/>
        <v>234</v>
      </c>
      <c r="H241" s="90" t="str">
        <f t="shared" ca="1" si="81"/>
        <v>PW_OFFSET_P_16</v>
      </c>
      <c r="I241" s="91" t="str">
        <f t="shared" ca="1" si="82"/>
        <v>0</v>
      </c>
      <c r="J241" s="92" t="s">
        <v>11</v>
      </c>
      <c r="K241" s="92">
        <f t="shared" ca="1" si="79"/>
        <v>0</v>
      </c>
      <c r="Q241" s="88"/>
      <c r="R241" s="90"/>
      <c r="S241" s="91"/>
      <c r="T241" s="92"/>
      <c r="U241" s="92"/>
      <c r="AA241" s="88"/>
      <c r="AB241" s="90"/>
      <c r="AC241" s="91"/>
      <c r="AD241" s="92"/>
      <c r="AE241" s="92"/>
    </row>
    <row r="242" spans="1:31">
      <c r="A242" s="79" t="str">
        <f>'CALIBRATION GUIDE'!B295</f>
        <v>0                  0                  0                  0</v>
      </c>
      <c r="D242" s="88">
        <f t="shared" si="73"/>
        <v>143</v>
      </c>
      <c r="E242" s="88">
        <v>4</v>
      </c>
      <c r="G242" s="88" t="str">
        <f t="shared" ca="1" si="80"/>
        <v>235</v>
      </c>
      <c r="H242" s="90" t="str">
        <f t="shared" ca="1" si="81"/>
        <v>PW_OFFSET_P_17</v>
      </c>
      <c r="I242" s="91" t="str">
        <f t="shared" ca="1" si="82"/>
        <v>0</v>
      </c>
      <c r="J242" s="92" t="s">
        <v>11</v>
      </c>
      <c r="K242" s="92">
        <f t="shared" ca="1" si="79"/>
        <v>0</v>
      </c>
      <c r="Q242" s="88"/>
      <c r="R242" s="90"/>
      <c r="S242" s="91"/>
      <c r="T242" s="92"/>
      <c r="U242" s="92"/>
      <c r="AA242" s="88"/>
      <c r="AB242" s="90"/>
      <c r="AC242" s="91"/>
      <c r="AD242" s="92"/>
      <c r="AE242" s="92"/>
    </row>
    <row r="243" spans="1:31">
      <c r="A243" s="79" t="str">
        <f>'CALIBRATION GUIDE'!B296</f>
        <v>020 CH20           021 CH21           022 CH22           023 CH23</v>
      </c>
      <c r="D243" s="88">
        <f t="shared" si="73"/>
        <v>145</v>
      </c>
      <c r="E243" s="88">
        <v>1</v>
      </c>
      <c r="G243" s="88" t="str">
        <f t="shared" ca="1" si="80"/>
        <v>236</v>
      </c>
      <c r="H243" s="90" t="str">
        <f t="shared" ca="1" si="81"/>
        <v>PW_OFFSET_P_18</v>
      </c>
      <c r="I243" s="91" t="str">
        <f t="shared" ca="1" si="82"/>
        <v>0</v>
      </c>
      <c r="J243" s="92" t="s">
        <v>11</v>
      </c>
      <c r="K243" s="92">
        <f t="shared" ca="1" si="79"/>
        <v>0</v>
      </c>
      <c r="Q243" s="88"/>
      <c r="R243" s="90"/>
      <c r="S243" s="91"/>
      <c r="T243" s="92"/>
      <c r="U243" s="92"/>
      <c r="AA243" s="88"/>
      <c r="AB243" s="90"/>
      <c r="AC243" s="91"/>
      <c r="AD243" s="92"/>
      <c r="AE243" s="92"/>
    </row>
    <row r="244" spans="1:31">
      <c r="A244" s="79" t="str">
        <f>'CALIBRATION GUIDE'!B297</f>
        <v>0                  0                  0                  0</v>
      </c>
      <c r="D244" s="88">
        <f t="shared" si="73"/>
        <v>145</v>
      </c>
      <c r="E244" s="88">
        <v>2</v>
      </c>
      <c r="G244" s="88" t="str">
        <f t="shared" ca="1" si="80"/>
        <v>237</v>
      </c>
      <c r="H244" s="90" t="str">
        <f t="shared" ca="1" si="81"/>
        <v>PW_OFFSET_P_19</v>
      </c>
      <c r="I244" s="91" t="str">
        <f t="shared" ca="1" si="82"/>
        <v>0</v>
      </c>
      <c r="J244" s="92" t="s">
        <v>11</v>
      </c>
      <c r="K244" s="92">
        <f t="shared" ca="1" si="79"/>
        <v>0</v>
      </c>
      <c r="Q244" s="88"/>
      <c r="R244" s="90"/>
      <c r="S244" s="91"/>
      <c r="T244" s="92"/>
      <c r="U244" s="92"/>
      <c r="AA244" s="88"/>
      <c r="AB244" s="90"/>
      <c r="AC244" s="91"/>
      <c r="AD244" s="92"/>
      <c r="AE244" s="92"/>
    </row>
    <row r="245" spans="1:31">
      <c r="A245" s="79" t="str">
        <f>'CALIBRATION GUIDE'!B298</f>
        <v>024 CH24           025 CH25           026 CH26           027 CH27</v>
      </c>
      <c r="D245" s="88">
        <f t="shared" si="73"/>
        <v>145</v>
      </c>
      <c r="E245" s="88">
        <v>3</v>
      </c>
      <c r="G245" s="88" t="str">
        <f t="shared" ca="1" si="80"/>
        <v>238</v>
      </c>
      <c r="H245" s="90" t="str">
        <f t="shared" ca="1" si="81"/>
        <v>PW_OFFSET_P_20</v>
      </c>
      <c r="I245" s="91" t="str">
        <f t="shared" ca="1" si="82"/>
        <v>0</v>
      </c>
      <c r="J245" s="92" t="s">
        <v>11</v>
      </c>
      <c r="K245" s="92">
        <f t="shared" ca="1" si="79"/>
        <v>0</v>
      </c>
      <c r="Q245" s="88"/>
      <c r="R245" s="90"/>
      <c r="S245" s="91"/>
      <c r="T245" s="92"/>
      <c r="U245" s="92"/>
      <c r="AA245" s="88"/>
      <c r="AB245" s="90"/>
      <c r="AC245" s="91"/>
      <c r="AD245" s="92"/>
      <c r="AE245" s="92"/>
    </row>
    <row r="246" spans="1:31">
      <c r="A246" s="79" t="str">
        <f>'CALIBRATION GUIDE'!B299</f>
        <v>0                  0                  0                  0</v>
      </c>
      <c r="D246" s="88">
        <f t="shared" si="73"/>
        <v>145</v>
      </c>
      <c r="E246" s="88">
        <v>4</v>
      </c>
      <c r="G246" s="88" t="str">
        <f t="shared" ca="1" si="80"/>
        <v>239</v>
      </c>
      <c r="H246" s="90" t="str">
        <f t="shared" ca="1" si="81"/>
        <v>PW_OFFSET_P_21</v>
      </c>
      <c r="I246" s="91" t="str">
        <f t="shared" ca="1" si="82"/>
        <v>0</v>
      </c>
      <c r="J246" s="92" t="s">
        <v>11</v>
      </c>
      <c r="K246" s="92">
        <f t="shared" ca="1" si="79"/>
        <v>0</v>
      </c>
      <c r="Q246" s="88"/>
      <c r="R246" s="90"/>
      <c r="S246" s="91"/>
      <c r="T246" s="92"/>
      <c r="U246" s="92"/>
      <c r="AA246" s="88"/>
      <c r="AB246" s="90"/>
      <c r="AC246" s="91"/>
      <c r="AD246" s="92"/>
      <c r="AE246" s="92"/>
    </row>
    <row r="247" spans="1:31">
      <c r="A247" s="79" t="str">
        <f>'CALIBRATION GUIDE'!B300</f>
        <v>028 CH28           029 CH29           030 CH30           031 CH31</v>
      </c>
      <c r="D247" s="88">
        <f t="shared" si="73"/>
        <v>147</v>
      </c>
      <c r="E247" s="88">
        <v>1</v>
      </c>
      <c r="G247" s="88" t="str">
        <f t="shared" ca="1" si="80"/>
        <v>240</v>
      </c>
      <c r="H247" s="90" t="str">
        <f t="shared" ca="1" si="81"/>
        <v>PW_OFFSET_P_22</v>
      </c>
      <c r="I247" s="91" t="str">
        <f t="shared" ca="1" si="82"/>
        <v>0</v>
      </c>
      <c r="J247" s="92" t="s">
        <v>11</v>
      </c>
      <c r="K247" s="92">
        <f t="shared" ca="1" si="79"/>
        <v>0</v>
      </c>
      <c r="Q247" s="88"/>
      <c r="R247" s="90"/>
      <c r="S247" s="91"/>
      <c r="T247" s="92"/>
      <c r="U247" s="92"/>
      <c r="AA247" s="88"/>
      <c r="AB247" s="90"/>
      <c r="AC247" s="91"/>
      <c r="AD247" s="92"/>
      <c r="AE247" s="92"/>
    </row>
    <row r="248" spans="1:31">
      <c r="A248" s="79" t="str">
        <f>'CALIBRATION GUIDE'!B301</f>
        <v>0                  0                  0                  0</v>
      </c>
      <c r="D248" s="88">
        <f t="shared" si="73"/>
        <v>147</v>
      </c>
      <c r="E248" s="88">
        <v>2</v>
      </c>
      <c r="G248" s="88" t="str">
        <f t="shared" ca="1" si="80"/>
        <v>241</v>
      </c>
      <c r="H248" s="90" t="str">
        <f t="shared" ca="1" si="81"/>
        <v>PW_OFFSET_P_23</v>
      </c>
      <c r="I248" s="91" t="str">
        <f t="shared" ca="1" si="82"/>
        <v>0</v>
      </c>
      <c r="J248" s="92" t="s">
        <v>11</v>
      </c>
      <c r="K248" s="92">
        <f t="shared" ca="1" si="79"/>
        <v>0</v>
      </c>
      <c r="Q248" s="88"/>
      <c r="R248" s="90"/>
      <c r="S248" s="91"/>
      <c r="T248" s="92"/>
      <c r="U248" s="92"/>
      <c r="AA248" s="88"/>
      <c r="AB248" s="90"/>
      <c r="AC248" s="91"/>
      <c r="AD248" s="92"/>
      <c r="AE248" s="92"/>
    </row>
    <row r="249" spans="1:31">
      <c r="A249" s="79" t="str">
        <f>'CALIBRATION GUIDE'!B302</f>
        <v>032 CH0_F          033 CH1_F          034 CH2_F          035 CH3_F</v>
      </c>
      <c r="D249" s="88">
        <f t="shared" si="73"/>
        <v>147</v>
      </c>
      <c r="E249" s="88">
        <v>3</v>
      </c>
      <c r="G249" s="88" t="str">
        <f t="shared" ca="1" si="80"/>
        <v>242</v>
      </c>
      <c r="H249" s="90" t="str">
        <f t="shared" ca="1" si="81"/>
        <v>PW_OFFSET_P_24</v>
      </c>
      <c r="I249" s="91" t="str">
        <f t="shared" ca="1" si="82"/>
        <v>0</v>
      </c>
      <c r="J249" s="92" t="s">
        <v>11</v>
      </c>
      <c r="K249" s="92">
        <f t="shared" ca="1" si="79"/>
        <v>0</v>
      </c>
      <c r="Q249" s="88"/>
      <c r="R249" s="90"/>
      <c r="S249" s="91"/>
      <c r="T249" s="92"/>
      <c r="U249" s="92"/>
      <c r="AA249" s="88"/>
      <c r="AB249" s="90"/>
      <c r="AC249" s="91"/>
      <c r="AD249" s="92"/>
      <c r="AE249" s="92"/>
    </row>
    <row r="250" spans="1:31">
      <c r="A250" s="79" t="str">
        <f>'CALIBRATION GUIDE'!B303</f>
        <v>43E29228F07C       43F7F323F2C8       43F8370A13E8       9D50E49E51A</v>
      </c>
      <c r="D250" s="88">
        <f t="shared" si="73"/>
        <v>147</v>
      </c>
      <c r="E250" s="88">
        <v>4</v>
      </c>
      <c r="G250" s="88" t="str">
        <f t="shared" ca="1" si="80"/>
        <v>243</v>
      </c>
      <c r="H250" s="90" t="str">
        <f t="shared" ca="1" si="81"/>
        <v>PW_OFFSET_P_25</v>
      </c>
      <c r="I250" s="91" t="str">
        <f t="shared" ca="1" si="82"/>
        <v>0</v>
      </c>
      <c r="J250" s="92" t="s">
        <v>11</v>
      </c>
      <c r="K250" s="92">
        <f t="shared" ca="1" si="79"/>
        <v>0</v>
      </c>
      <c r="Q250" s="88"/>
      <c r="R250" s="90"/>
      <c r="S250" s="91"/>
      <c r="T250" s="92"/>
      <c r="U250" s="92"/>
      <c r="AA250" s="88"/>
      <c r="AB250" s="90"/>
      <c r="AC250" s="91"/>
      <c r="AD250" s="92"/>
      <c r="AE250" s="92"/>
    </row>
    <row r="251" spans="1:31">
      <c r="A251" s="79" t="str">
        <f>'CALIBRATION GUIDE'!B304</f>
        <v>036 CH4_F          037 CH5_F          038 CH6_F          039 CH7_F</v>
      </c>
      <c r="D251" s="88">
        <f t="shared" si="73"/>
        <v>149</v>
      </c>
      <c r="E251" s="88">
        <v>1</v>
      </c>
      <c r="G251" s="88" t="str">
        <f t="shared" ref="G251:G288" ca="1" si="83">MID(INDIRECT(ADDRESS(D251,1)),(E251-1)*19+1,3)</f>
        <v>244</v>
      </c>
      <c r="H251" s="90" t="str">
        <f t="shared" ref="H251:H288" ca="1" si="84">TRIM(MID(INDIRECT(ADDRESS(D251,1)),(E251-1)*19+4,16))</f>
        <v>PW_OFFSET_P_26</v>
      </c>
      <c r="I251" s="91" t="str">
        <f t="shared" ref="I251:I288" ca="1" si="85">TRIM(MID(INDIRECT(ADDRESS(D251+1,1)),(E251-1)*19+1,19))</f>
        <v>0</v>
      </c>
      <c r="J251" s="92" t="s">
        <v>11</v>
      </c>
      <c r="K251" s="92">
        <f t="shared" ref="K251:K288" ca="1" si="86">HEX2DEC(IF(AND(LEN(I251)=8,HEX2DEC(LEFT(I251,1))&gt;7),"FF","00")&amp;I251)/2^(0+MID(J251,FIND(".",J251)+1,2))</f>
        <v>0</v>
      </c>
      <c r="Q251" s="88"/>
      <c r="R251" s="90"/>
      <c r="S251" s="91"/>
      <c r="T251" s="92"/>
      <c r="U251" s="92"/>
      <c r="AA251" s="88"/>
      <c r="AB251" s="90"/>
      <c r="AC251" s="91"/>
      <c r="AD251" s="92"/>
      <c r="AE251" s="92"/>
    </row>
    <row r="252" spans="1:31">
      <c r="A252" s="79" t="str">
        <f>'CALIBRATION GUIDE'!B305</f>
        <v>9C73814166E        9C7BAEA2A69        2388               17F5</v>
      </c>
      <c r="D252" s="88">
        <f t="shared" si="73"/>
        <v>149</v>
      </c>
      <c r="E252" s="88">
        <v>2</v>
      </c>
      <c r="G252" s="88" t="str">
        <f t="shared" ca="1" si="83"/>
        <v>245</v>
      </c>
      <c r="H252" s="90" t="str">
        <f t="shared" ca="1" si="84"/>
        <v>PW_OFFSET_P_27</v>
      </c>
      <c r="I252" s="91" t="str">
        <f t="shared" ca="1" si="85"/>
        <v>0</v>
      </c>
      <c r="J252" s="92" t="s">
        <v>11</v>
      </c>
      <c r="K252" s="92">
        <f t="shared" ca="1" si="86"/>
        <v>0</v>
      </c>
      <c r="Q252" s="88"/>
      <c r="R252" s="90"/>
      <c r="S252" s="91"/>
      <c r="T252" s="92"/>
      <c r="U252" s="92"/>
      <c r="AA252" s="88"/>
      <c r="AB252" s="90"/>
      <c r="AC252" s="91"/>
      <c r="AD252" s="92"/>
      <c r="AE252" s="92"/>
    </row>
    <row r="253" spans="1:31">
      <c r="A253" s="79" t="str">
        <f>'CALIBRATION GUIDE'!B306</f>
        <v>040 CH8_F          041 CH9_F          042 CH10_F         043 CH11_F</v>
      </c>
      <c r="D253" s="88">
        <f t="shared" si="73"/>
        <v>149</v>
      </c>
      <c r="E253" s="88">
        <v>3</v>
      </c>
      <c r="G253" s="88" t="str">
        <f t="shared" ca="1" si="83"/>
        <v>246</v>
      </c>
      <c r="H253" s="90" t="str">
        <f t="shared" ca="1" si="84"/>
        <v>PW_OFFSET_P_28</v>
      </c>
      <c r="I253" s="91" t="str">
        <f t="shared" ca="1" si="85"/>
        <v>0</v>
      </c>
      <c r="J253" s="92" t="s">
        <v>11</v>
      </c>
      <c r="K253" s="92">
        <f t="shared" ca="1" si="86"/>
        <v>0</v>
      </c>
      <c r="Q253" s="88"/>
      <c r="R253" s="90"/>
      <c r="S253" s="91"/>
      <c r="T253" s="92"/>
      <c r="U253" s="92"/>
      <c r="AA253" s="88"/>
      <c r="AB253" s="90"/>
      <c r="AC253" s="91"/>
      <c r="AD253" s="92"/>
      <c r="AE253" s="92"/>
    </row>
    <row r="254" spans="1:31">
      <c r="A254" s="79" t="str">
        <f>'CALIBRATION GUIDE'!B307</f>
        <v>0                  0                  0                  0</v>
      </c>
      <c r="D254" s="88">
        <f t="shared" si="73"/>
        <v>149</v>
      </c>
      <c r="E254" s="88">
        <v>4</v>
      </c>
      <c r="G254" s="88" t="str">
        <f t="shared" ca="1" si="83"/>
        <v>247</v>
      </c>
      <c r="H254" s="90" t="str">
        <f t="shared" ca="1" si="84"/>
        <v>PW_OFFSET_P_29</v>
      </c>
      <c r="I254" s="91" t="str">
        <f t="shared" ca="1" si="85"/>
        <v>0</v>
      </c>
      <c r="J254" s="92" t="s">
        <v>11</v>
      </c>
      <c r="K254" s="92">
        <f t="shared" ca="1" si="86"/>
        <v>0</v>
      </c>
      <c r="Q254" s="88"/>
      <c r="R254" s="90"/>
      <c r="S254" s="91"/>
      <c r="T254" s="92"/>
      <c r="U254" s="92"/>
      <c r="AA254" s="88"/>
      <c r="AB254" s="90"/>
      <c r="AC254" s="91"/>
      <c r="AD254" s="92"/>
      <c r="AE254" s="92"/>
    </row>
    <row r="255" spans="1:31">
      <c r="A255" s="79" t="str">
        <f>'CALIBRATION GUIDE'!B308</f>
        <v>044 CH12_F         045 CH13_F         046 CH14_F         047 CH15_F</v>
      </c>
      <c r="D255" s="88">
        <f t="shared" si="73"/>
        <v>151</v>
      </c>
      <c r="E255" s="88">
        <v>1</v>
      </c>
      <c r="G255" s="88" t="str">
        <f t="shared" ca="1" si="83"/>
        <v>248</v>
      </c>
      <c r="H255" s="90" t="str">
        <f t="shared" ca="1" si="84"/>
        <v>PW_OFFSET_P_30</v>
      </c>
      <c r="I255" s="91" t="str">
        <f t="shared" ca="1" si="85"/>
        <v>0</v>
      </c>
      <c r="J255" s="92" t="s">
        <v>11</v>
      </c>
      <c r="K255" s="92">
        <f t="shared" ca="1" si="86"/>
        <v>0</v>
      </c>
      <c r="Q255" s="88"/>
      <c r="R255" s="90"/>
      <c r="S255" s="91"/>
      <c r="T255" s="92"/>
      <c r="U255" s="92"/>
      <c r="AA255" s="88"/>
      <c r="AB255" s="90"/>
      <c r="AC255" s="91"/>
      <c r="AD255" s="92"/>
      <c r="AE255" s="92"/>
    </row>
    <row r="256" spans="1:31">
      <c r="A256" s="79" t="str">
        <f>'CALIBRATION GUIDE'!B309</f>
        <v>0                  0                  0                  0</v>
      </c>
      <c r="D256" s="88">
        <f t="shared" si="73"/>
        <v>151</v>
      </c>
      <c r="E256" s="88">
        <v>2</v>
      </c>
      <c r="G256" s="88" t="str">
        <f t="shared" ca="1" si="83"/>
        <v>249</v>
      </c>
      <c r="H256" s="90" t="str">
        <f t="shared" ca="1" si="84"/>
        <v>RESERVED_C249</v>
      </c>
      <c r="I256" s="91" t="str">
        <f t="shared" ca="1" si="85"/>
        <v>0</v>
      </c>
      <c r="J256" s="92" t="s">
        <v>12</v>
      </c>
      <c r="K256" s="92">
        <f t="shared" ca="1" si="86"/>
        <v>0</v>
      </c>
      <c r="Q256" s="88"/>
      <c r="R256" s="90"/>
      <c r="S256" s="91"/>
      <c r="T256" s="92"/>
      <c r="U256" s="92"/>
      <c r="AA256" s="88"/>
      <c r="AB256" s="90"/>
      <c r="AC256" s="91"/>
      <c r="AD256" s="92"/>
      <c r="AE256" s="92"/>
    </row>
    <row r="257" spans="1:31">
      <c r="A257" s="79" t="str">
        <f>'CALIBRATION GUIDE'!B310</f>
        <v>048 CH16_F         049 CH17_F         050 CH18_F         051 CH19_F</v>
      </c>
      <c r="D257" s="88">
        <f t="shared" si="73"/>
        <v>151</v>
      </c>
      <c r="E257" s="88">
        <v>3</v>
      </c>
      <c r="G257" s="88" t="str">
        <f t="shared" ca="1" si="83"/>
        <v>250</v>
      </c>
      <c r="H257" s="90" t="str">
        <f t="shared" ca="1" si="84"/>
        <v>PW_OFFSET_Q_00</v>
      </c>
      <c r="I257" s="91" t="str">
        <f t="shared" ca="1" si="85"/>
        <v>0</v>
      </c>
      <c r="J257" s="92" t="s">
        <v>11</v>
      </c>
      <c r="K257" s="92">
        <f t="shared" ca="1" si="86"/>
        <v>0</v>
      </c>
      <c r="Q257" s="88"/>
      <c r="R257" s="90"/>
      <c r="S257" s="91"/>
      <c r="T257" s="92"/>
      <c r="U257" s="92"/>
      <c r="AA257" s="88"/>
      <c r="AB257" s="90"/>
      <c r="AC257" s="91"/>
      <c r="AD257" s="92"/>
      <c r="AE257" s="92"/>
    </row>
    <row r="258" spans="1:31">
      <c r="A258" s="79" t="str">
        <f>'CALIBRATION GUIDE'!B311</f>
        <v>0                  0                  0                  0</v>
      </c>
      <c r="D258" s="88">
        <f t="shared" si="73"/>
        <v>151</v>
      </c>
      <c r="E258" s="88">
        <v>4</v>
      </c>
      <c r="G258" s="88" t="str">
        <f t="shared" ca="1" si="83"/>
        <v>251</v>
      </c>
      <c r="H258" s="90" t="str">
        <f t="shared" ca="1" si="84"/>
        <v>PW_OFFSET_Q_01</v>
      </c>
      <c r="I258" s="91" t="str">
        <f t="shared" ca="1" si="85"/>
        <v>0</v>
      </c>
      <c r="J258" s="92" t="s">
        <v>11</v>
      </c>
      <c r="K258" s="92">
        <f t="shared" ca="1" si="86"/>
        <v>0</v>
      </c>
      <c r="Q258" s="88"/>
      <c r="R258" s="90"/>
      <c r="S258" s="91"/>
      <c r="T258" s="92"/>
      <c r="U258" s="92"/>
      <c r="AA258" s="88"/>
      <c r="AB258" s="90"/>
      <c r="AC258" s="91"/>
      <c r="AD258" s="92"/>
      <c r="AE258" s="92"/>
    </row>
    <row r="259" spans="1:31">
      <c r="A259" s="79" t="str">
        <f>'CALIBRATION GUIDE'!B312</f>
        <v>052 CH20_F         053 CH21_F         054 CH22_F         055 CH23_F</v>
      </c>
      <c r="D259" s="88">
        <f t="shared" si="73"/>
        <v>153</v>
      </c>
      <c r="E259" s="88">
        <v>1</v>
      </c>
      <c r="G259" s="88" t="str">
        <f t="shared" ca="1" si="83"/>
        <v>252</v>
      </c>
      <c r="H259" s="90" t="str">
        <f t="shared" ca="1" si="84"/>
        <v>PW_OFFSET_Q_02</v>
      </c>
      <c r="I259" s="91" t="str">
        <f t="shared" ca="1" si="85"/>
        <v>0</v>
      </c>
      <c r="J259" s="92" t="s">
        <v>11</v>
      </c>
      <c r="K259" s="92">
        <f t="shared" ca="1" si="86"/>
        <v>0</v>
      </c>
      <c r="Q259" s="88"/>
      <c r="R259" s="90"/>
      <c r="S259" s="91"/>
      <c r="T259" s="92"/>
      <c r="U259" s="92"/>
      <c r="AA259" s="88"/>
      <c r="AB259" s="90"/>
      <c r="AC259" s="91"/>
      <c r="AD259" s="92"/>
      <c r="AE259" s="92"/>
    </row>
    <row r="260" spans="1:31">
      <c r="A260" s="79" t="str">
        <f>'CALIBRATION GUIDE'!B313</f>
        <v>0                  0                  0                  0</v>
      </c>
      <c r="D260" s="88">
        <f t="shared" si="73"/>
        <v>153</v>
      </c>
      <c r="E260" s="88">
        <v>2</v>
      </c>
      <c r="G260" s="88" t="str">
        <f t="shared" ca="1" si="83"/>
        <v>253</v>
      </c>
      <c r="H260" s="90" t="str">
        <f t="shared" ca="1" si="84"/>
        <v>PW_OFFSET_Q_03</v>
      </c>
      <c r="I260" s="91" t="str">
        <f t="shared" ca="1" si="85"/>
        <v>0</v>
      </c>
      <c r="J260" s="92" t="s">
        <v>11</v>
      </c>
      <c r="K260" s="92">
        <f t="shared" ca="1" si="86"/>
        <v>0</v>
      </c>
      <c r="Q260" s="88"/>
      <c r="R260" s="90"/>
      <c r="S260" s="91"/>
      <c r="T260" s="92"/>
      <c r="U260" s="92"/>
      <c r="AA260" s="88"/>
      <c r="AB260" s="90"/>
      <c r="AC260" s="91"/>
      <c r="AD260" s="92"/>
      <c r="AE260" s="92"/>
    </row>
    <row r="261" spans="1:31">
      <c r="A261" s="79" t="str">
        <f>'CALIBRATION GUIDE'!B314</f>
        <v>056 CH24_F         057 CH25_F         058 CH26_F         059 CH27_F</v>
      </c>
      <c r="D261" s="88">
        <f t="shared" si="73"/>
        <v>153</v>
      </c>
      <c r="E261" s="88">
        <v>3</v>
      </c>
      <c r="G261" s="88" t="str">
        <f t="shared" ca="1" si="83"/>
        <v>254</v>
      </c>
      <c r="H261" s="90" t="str">
        <f t="shared" ca="1" si="84"/>
        <v>PW_OFFSET_Q_04</v>
      </c>
      <c r="I261" s="91" t="str">
        <f t="shared" ca="1" si="85"/>
        <v>0</v>
      </c>
      <c r="J261" s="92" t="s">
        <v>11</v>
      </c>
      <c r="K261" s="92">
        <f t="shared" ca="1" si="86"/>
        <v>0</v>
      </c>
      <c r="Q261" s="88"/>
      <c r="R261" s="90"/>
      <c r="S261" s="91"/>
      <c r="T261" s="92"/>
      <c r="U261" s="92"/>
      <c r="AA261" s="88"/>
      <c r="AB261" s="90"/>
      <c r="AC261" s="91"/>
      <c r="AD261" s="92"/>
      <c r="AE261" s="92"/>
    </row>
    <row r="262" spans="1:31">
      <c r="A262" s="79" t="str">
        <f>'CALIBRATION GUIDE'!B315</f>
        <v>0                  0                  0                  0</v>
      </c>
      <c r="D262" s="88">
        <f t="shared" si="73"/>
        <v>153</v>
      </c>
      <c r="E262" s="88">
        <v>4</v>
      </c>
      <c r="G262" s="88" t="str">
        <f t="shared" ca="1" si="83"/>
        <v>255</v>
      </c>
      <c r="H262" s="90" t="str">
        <f t="shared" ca="1" si="84"/>
        <v>PW_OFFSET_Q_05</v>
      </c>
      <c r="I262" s="91" t="str">
        <f t="shared" ca="1" si="85"/>
        <v>0</v>
      </c>
      <c r="J262" s="92" t="s">
        <v>11</v>
      </c>
      <c r="K262" s="92">
        <f t="shared" ca="1" si="86"/>
        <v>0</v>
      </c>
      <c r="Q262" s="88"/>
      <c r="R262" s="90"/>
      <c r="S262" s="91"/>
      <c r="T262" s="92"/>
      <c r="U262" s="92"/>
      <c r="AA262" s="88"/>
      <c r="AB262" s="90"/>
      <c r="AC262" s="91"/>
      <c r="AD262" s="92"/>
      <c r="AE262" s="92"/>
    </row>
    <row r="263" spans="1:31">
      <c r="A263" s="79" t="str">
        <f>'CALIBRATION GUIDE'!B316</f>
        <v>060 CH28_F         061 CH29_F         062 CH30_F         063 CH31_F</v>
      </c>
      <c r="D263" s="88">
        <f t="shared" si="73"/>
        <v>155</v>
      </c>
      <c r="E263" s="88">
        <v>1</v>
      </c>
      <c r="G263" s="88" t="str">
        <f t="shared" ca="1" si="83"/>
        <v>256</v>
      </c>
      <c r="H263" s="90" t="str">
        <f t="shared" ca="1" si="84"/>
        <v>PW_OFFSET_Q_06</v>
      </c>
      <c r="I263" s="91" t="str">
        <f t="shared" ca="1" si="85"/>
        <v>0</v>
      </c>
      <c r="J263" s="92" t="s">
        <v>11</v>
      </c>
      <c r="K263" s="92">
        <f t="shared" ca="1" si="86"/>
        <v>0</v>
      </c>
      <c r="Q263" s="88"/>
      <c r="R263" s="90"/>
      <c r="S263" s="91"/>
      <c r="T263" s="92"/>
      <c r="U263" s="92"/>
      <c r="AA263" s="88"/>
      <c r="AB263" s="90"/>
      <c r="AC263" s="91"/>
      <c r="AD263" s="92"/>
      <c r="AE263" s="92"/>
    </row>
    <row r="264" spans="1:31">
      <c r="A264" s="79" t="str">
        <f>'CALIBRATION GUIDE'!B317</f>
        <v>0                  0                  0                  0</v>
      </c>
      <c r="D264" s="88">
        <f t="shared" si="73"/>
        <v>155</v>
      </c>
      <c r="E264" s="88">
        <v>2</v>
      </c>
      <c r="G264" s="88" t="str">
        <f t="shared" ca="1" si="83"/>
        <v>257</v>
      </c>
      <c r="H264" s="90" t="str">
        <f t="shared" ca="1" si="84"/>
        <v>PW_OFFSET_Q_07</v>
      </c>
      <c r="I264" s="91" t="str">
        <f t="shared" ca="1" si="85"/>
        <v>0</v>
      </c>
      <c r="J264" s="92" t="s">
        <v>11</v>
      </c>
      <c r="K264" s="92">
        <f t="shared" ca="1" si="86"/>
        <v>0</v>
      </c>
      <c r="Q264" s="88"/>
      <c r="R264" s="90"/>
      <c r="S264" s="91"/>
      <c r="T264" s="92"/>
      <c r="U264" s="92"/>
      <c r="AA264" s="88"/>
      <c r="AB264" s="90"/>
      <c r="AC264" s="91"/>
      <c r="AD264" s="92"/>
      <c r="AE264" s="92"/>
    </row>
    <row r="265" spans="1:31">
      <c r="A265" s="79" t="str">
        <f>'CALIBRATION GUIDE'!B318</f>
        <v>064 P_CH0          065 P_CH1          066 P_CH2          067 P_CH3</v>
      </c>
      <c r="D265" s="88">
        <f t="shared" si="73"/>
        <v>155</v>
      </c>
      <c r="E265" s="88">
        <v>3</v>
      </c>
      <c r="G265" s="88" t="str">
        <f t="shared" ca="1" si="83"/>
        <v>258</v>
      </c>
      <c r="H265" s="90" t="str">
        <f t="shared" ca="1" si="84"/>
        <v>PW_OFFSET_Q_08</v>
      </c>
      <c r="I265" s="91" t="str">
        <f t="shared" ca="1" si="85"/>
        <v>0</v>
      </c>
      <c r="J265" s="92" t="s">
        <v>11</v>
      </c>
      <c r="K265" s="92">
        <f t="shared" ca="1" si="86"/>
        <v>0</v>
      </c>
      <c r="Q265" s="88"/>
      <c r="R265" s="90"/>
      <c r="S265" s="91"/>
      <c r="T265" s="92"/>
      <c r="U265" s="92"/>
      <c r="AA265" s="88"/>
      <c r="AB265" s="90"/>
      <c r="AC265" s="91"/>
      <c r="AD265" s="92"/>
      <c r="AE265" s="92"/>
    </row>
    <row r="266" spans="1:31">
      <c r="A266" s="79" t="str">
        <f>'CALIBRATION GUIDE'!B319</f>
        <v>CF2D6DB9C86        CE9D1A16E6E        CE97FA1EA38        0</v>
      </c>
      <c r="D266" s="88">
        <f t="shared" si="73"/>
        <v>155</v>
      </c>
      <c r="E266" s="88">
        <v>4</v>
      </c>
      <c r="G266" s="88" t="str">
        <f t="shared" ca="1" si="83"/>
        <v>259</v>
      </c>
      <c r="H266" s="90" t="str">
        <f t="shared" ca="1" si="84"/>
        <v>PW_OFFSET_Q_09</v>
      </c>
      <c r="I266" s="91" t="str">
        <f t="shared" ca="1" si="85"/>
        <v>0</v>
      </c>
      <c r="J266" s="92" t="s">
        <v>11</v>
      </c>
      <c r="K266" s="92">
        <f t="shared" ca="1" si="86"/>
        <v>0</v>
      </c>
      <c r="Q266" s="88"/>
      <c r="R266" s="90"/>
      <c r="S266" s="91"/>
      <c r="T266" s="92"/>
      <c r="U266" s="92"/>
      <c r="AA266" s="88"/>
      <c r="AB266" s="90"/>
      <c r="AC266" s="91"/>
      <c r="AD266" s="92"/>
      <c r="AE266" s="92"/>
    </row>
    <row r="267" spans="1:31">
      <c r="A267" s="79" t="str">
        <f>'CALIBRATION GUIDE'!B320</f>
        <v>068 P_CH4          069 P_CH5          070 P_CH6          071 P_CH7</v>
      </c>
      <c r="D267" s="88">
        <f t="shared" si="73"/>
        <v>157</v>
      </c>
      <c r="E267" s="88">
        <v>1</v>
      </c>
      <c r="G267" s="88" t="str">
        <f t="shared" ca="1" si="83"/>
        <v>260</v>
      </c>
      <c r="H267" s="90" t="str">
        <f t="shared" ca="1" si="84"/>
        <v>PW_OFFSET_Q_10</v>
      </c>
      <c r="I267" s="91" t="str">
        <f t="shared" ca="1" si="85"/>
        <v>0</v>
      </c>
      <c r="J267" s="92" t="s">
        <v>11</v>
      </c>
      <c r="K267" s="92">
        <f t="shared" ca="1" si="86"/>
        <v>0</v>
      </c>
      <c r="Q267" s="88"/>
      <c r="R267" s="90"/>
      <c r="S267" s="91"/>
      <c r="T267" s="92"/>
      <c r="U267" s="92"/>
      <c r="AA267" s="88"/>
      <c r="AB267" s="90"/>
      <c r="AC267" s="91"/>
      <c r="AD267" s="92"/>
      <c r="AE267" s="92"/>
    </row>
    <row r="268" spans="1:31">
      <c r="A268" s="79" t="str">
        <f>'CALIBRATION GUIDE'!B321</f>
        <v>0                  0                  0                  0</v>
      </c>
      <c r="D268" s="88">
        <f t="shared" ref="D268:D288" si="87">D264+2</f>
        <v>157</v>
      </c>
      <c r="E268" s="88">
        <v>2</v>
      </c>
      <c r="G268" s="88" t="str">
        <f t="shared" ca="1" si="83"/>
        <v>261</v>
      </c>
      <c r="H268" s="90" t="str">
        <f t="shared" ca="1" si="84"/>
        <v>PW_OFFSET_Q_11</v>
      </c>
      <c r="I268" s="91" t="str">
        <f t="shared" ca="1" si="85"/>
        <v>0</v>
      </c>
      <c r="J268" s="92" t="s">
        <v>11</v>
      </c>
      <c r="K268" s="92">
        <f t="shared" ca="1" si="86"/>
        <v>0</v>
      </c>
      <c r="Q268" s="88"/>
      <c r="R268" s="90"/>
      <c r="S268" s="91"/>
      <c r="T268" s="92"/>
      <c r="U268" s="92"/>
      <c r="AA268" s="88"/>
      <c r="AB268" s="90"/>
      <c r="AC268" s="91"/>
      <c r="AD268" s="92"/>
      <c r="AE268" s="92"/>
    </row>
    <row r="269" spans="1:31">
      <c r="A269" s="79" t="str">
        <f>'CALIBRATION GUIDE'!B322</f>
        <v>072 P_CH8          073 P_CH9          074 P_CH10         075 P_CH11</v>
      </c>
      <c r="D269" s="88">
        <f t="shared" si="87"/>
        <v>157</v>
      </c>
      <c r="E269" s="88">
        <v>3</v>
      </c>
      <c r="G269" s="88" t="str">
        <f t="shared" ca="1" si="83"/>
        <v>262</v>
      </c>
      <c r="H269" s="90" t="str">
        <f t="shared" ca="1" si="84"/>
        <v>PW_OFFSET_Q_12</v>
      </c>
      <c r="I269" s="91" t="str">
        <f t="shared" ca="1" si="85"/>
        <v>0</v>
      </c>
      <c r="J269" s="92" t="s">
        <v>11</v>
      </c>
      <c r="K269" s="92">
        <f t="shared" ca="1" si="86"/>
        <v>0</v>
      </c>
      <c r="Q269" s="88"/>
      <c r="R269" s="90"/>
      <c r="S269" s="91"/>
      <c r="T269" s="92"/>
      <c r="U269" s="92"/>
      <c r="AA269" s="88"/>
      <c r="AB269" s="90"/>
      <c r="AC269" s="91"/>
      <c r="AD269" s="92"/>
      <c r="AE269" s="92"/>
    </row>
    <row r="270" spans="1:31">
      <c r="A270" s="79" t="str">
        <f>'CALIBRATION GUIDE'!B323</f>
        <v>0                  0                  0                  0</v>
      </c>
      <c r="D270" s="88">
        <f t="shared" si="87"/>
        <v>157</v>
      </c>
      <c r="E270" s="88">
        <v>4</v>
      </c>
      <c r="G270" s="88" t="str">
        <f t="shared" ca="1" si="83"/>
        <v>263</v>
      </c>
      <c r="H270" s="90" t="str">
        <f t="shared" ca="1" si="84"/>
        <v>PW_OFFSET_Q_13</v>
      </c>
      <c r="I270" s="91" t="str">
        <f t="shared" ca="1" si="85"/>
        <v>0</v>
      </c>
      <c r="J270" s="92" t="s">
        <v>11</v>
      </c>
      <c r="K270" s="92">
        <f t="shared" ca="1" si="86"/>
        <v>0</v>
      </c>
      <c r="Q270" s="88"/>
      <c r="R270" s="90"/>
      <c r="S270" s="91"/>
      <c r="T270" s="92"/>
      <c r="U270" s="92"/>
      <c r="AA270" s="88"/>
      <c r="AB270" s="90"/>
      <c r="AC270" s="91"/>
      <c r="AD270" s="92"/>
      <c r="AE270" s="92"/>
    </row>
    <row r="271" spans="1:31">
      <c r="A271" s="79" t="str">
        <f>'CALIBRATION GUIDE'!B324</f>
        <v>076 P_CH12         077 P_CH13         078 P_CH14         079 P_CH15</v>
      </c>
      <c r="D271" s="88">
        <f t="shared" si="87"/>
        <v>159</v>
      </c>
      <c r="E271" s="88">
        <v>1</v>
      </c>
      <c r="G271" s="88" t="str">
        <f t="shared" ca="1" si="83"/>
        <v>264</v>
      </c>
      <c r="H271" s="90" t="str">
        <f t="shared" ca="1" si="84"/>
        <v>PW_OFFSET_Q_14</v>
      </c>
      <c r="I271" s="91" t="str">
        <f t="shared" ca="1" si="85"/>
        <v>0</v>
      </c>
      <c r="J271" s="92" t="s">
        <v>11</v>
      </c>
      <c r="K271" s="92">
        <f t="shared" ca="1" si="86"/>
        <v>0</v>
      </c>
      <c r="Q271" s="88"/>
      <c r="R271" s="90"/>
      <c r="S271" s="91"/>
      <c r="T271" s="92"/>
      <c r="U271" s="92"/>
      <c r="AA271" s="88"/>
      <c r="AB271" s="90"/>
      <c r="AC271" s="91"/>
      <c r="AD271" s="92"/>
      <c r="AE271" s="92"/>
    </row>
    <row r="272" spans="1:31">
      <c r="A272" s="79" t="str">
        <f>'CALIBRATION GUIDE'!B325</f>
        <v>0                  0                  0                  0</v>
      </c>
      <c r="D272" s="88">
        <f t="shared" si="87"/>
        <v>159</v>
      </c>
      <c r="E272" s="88">
        <v>2</v>
      </c>
      <c r="G272" s="88" t="str">
        <f t="shared" ca="1" si="83"/>
        <v>265</v>
      </c>
      <c r="H272" s="90" t="str">
        <f t="shared" ca="1" si="84"/>
        <v>PW_OFFSET_Q_15</v>
      </c>
      <c r="I272" s="91" t="str">
        <f t="shared" ca="1" si="85"/>
        <v>0</v>
      </c>
      <c r="J272" s="92" t="s">
        <v>11</v>
      </c>
      <c r="K272" s="92">
        <f t="shared" ca="1" si="86"/>
        <v>0</v>
      </c>
      <c r="Q272" s="88"/>
      <c r="R272" s="90"/>
      <c r="S272" s="91"/>
      <c r="T272" s="92"/>
      <c r="U272" s="92"/>
      <c r="AA272" s="88"/>
      <c r="AB272" s="90"/>
      <c r="AC272" s="91"/>
      <c r="AD272" s="92"/>
      <c r="AE272" s="92"/>
    </row>
    <row r="273" spans="1:31">
      <c r="A273" s="79" t="str">
        <f>'CALIBRATION GUIDE'!B326</f>
        <v>080 P_CH16         081 P_CH17         082 P_CH18         083 P_CH19</v>
      </c>
      <c r="D273" s="88">
        <f t="shared" si="87"/>
        <v>159</v>
      </c>
      <c r="E273" s="88">
        <v>3</v>
      </c>
      <c r="G273" s="88" t="str">
        <f t="shared" ca="1" si="83"/>
        <v>266</v>
      </c>
      <c r="H273" s="90" t="str">
        <f t="shared" ca="1" si="84"/>
        <v>PW_OFFSET_Q_16</v>
      </c>
      <c r="I273" s="91" t="str">
        <f t="shared" ca="1" si="85"/>
        <v>0</v>
      </c>
      <c r="J273" s="92" t="s">
        <v>11</v>
      </c>
      <c r="K273" s="92">
        <f t="shared" ca="1" si="86"/>
        <v>0</v>
      </c>
      <c r="Q273" s="88"/>
      <c r="R273" s="90"/>
      <c r="S273" s="91"/>
      <c r="T273" s="92"/>
      <c r="U273" s="92"/>
      <c r="AA273" s="88"/>
      <c r="AB273" s="90"/>
      <c r="AC273" s="91"/>
      <c r="AD273" s="92"/>
      <c r="AE273" s="92"/>
    </row>
    <row r="274" spans="1:31">
      <c r="A274" s="79" t="str">
        <f>'CALIBRATION GUIDE'!B327</f>
        <v>0                  0                  0                  0</v>
      </c>
      <c r="D274" s="88">
        <f t="shared" si="87"/>
        <v>159</v>
      </c>
      <c r="E274" s="88">
        <v>4</v>
      </c>
      <c r="G274" s="88" t="str">
        <f t="shared" ca="1" si="83"/>
        <v>267</v>
      </c>
      <c r="H274" s="90" t="str">
        <f t="shared" ca="1" si="84"/>
        <v>PW_OFFSET_Q_17</v>
      </c>
      <c r="I274" s="91" t="str">
        <f t="shared" ca="1" si="85"/>
        <v>0</v>
      </c>
      <c r="J274" s="92" t="s">
        <v>11</v>
      </c>
      <c r="K274" s="92">
        <f t="shared" ca="1" si="86"/>
        <v>0</v>
      </c>
      <c r="Q274" s="88"/>
      <c r="R274" s="90"/>
      <c r="S274" s="91"/>
      <c r="T274" s="92"/>
      <c r="U274" s="92"/>
      <c r="AA274" s="88"/>
      <c r="AB274" s="90"/>
      <c r="AC274" s="91"/>
      <c r="AD274" s="92"/>
      <c r="AE274" s="92"/>
    </row>
    <row r="275" spans="1:31">
      <c r="A275" s="79" t="str">
        <f>'CALIBRATION GUIDE'!B328</f>
        <v>084 P_CH20         085 P_CH21         086 P_CH22         087 P_CH23</v>
      </c>
      <c r="D275" s="88">
        <f t="shared" si="87"/>
        <v>161</v>
      </c>
      <c r="E275" s="88">
        <v>1</v>
      </c>
      <c r="G275" s="88" t="str">
        <f t="shared" ca="1" si="83"/>
        <v>268</v>
      </c>
      <c r="H275" s="90" t="str">
        <f t="shared" ca="1" si="84"/>
        <v>PW_OFFSET_Q_18</v>
      </c>
      <c r="I275" s="91" t="str">
        <f t="shared" ca="1" si="85"/>
        <v>0</v>
      </c>
      <c r="J275" s="92" t="s">
        <v>11</v>
      </c>
      <c r="K275" s="92">
        <f t="shared" ca="1" si="86"/>
        <v>0</v>
      </c>
      <c r="Q275" s="88"/>
      <c r="R275" s="90"/>
      <c r="S275" s="91"/>
      <c r="T275" s="92"/>
      <c r="U275" s="92"/>
      <c r="AA275" s="88"/>
      <c r="AB275" s="90"/>
      <c r="AC275" s="91"/>
      <c r="AD275" s="92"/>
      <c r="AE275" s="92"/>
    </row>
    <row r="276" spans="1:31">
      <c r="A276" s="79" t="str">
        <f>'CALIBRATION GUIDE'!B329</f>
        <v>0                  0                  0                  0</v>
      </c>
      <c r="D276" s="88">
        <f t="shared" si="87"/>
        <v>161</v>
      </c>
      <c r="E276" s="88">
        <v>2</v>
      </c>
      <c r="G276" s="88" t="str">
        <f t="shared" ca="1" si="83"/>
        <v>269</v>
      </c>
      <c r="H276" s="90" t="str">
        <f t="shared" ca="1" si="84"/>
        <v>PW_OFFSET_Q_19</v>
      </c>
      <c r="I276" s="91" t="str">
        <f t="shared" ca="1" si="85"/>
        <v>0</v>
      </c>
      <c r="J276" s="92" t="s">
        <v>11</v>
      </c>
      <c r="K276" s="92">
        <f t="shared" ca="1" si="86"/>
        <v>0</v>
      </c>
      <c r="Q276" s="88"/>
      <c r="R276" s="90"/>
      <c r="S276" s="91"/>
      <c r="T276" s="92"/>
      <c r="U276" s="92"/>
      <c r="AA276" s="88"/>
      <c r="AB276" s="90"/>
      <c r="AC276" s="91"/>
      <c r="AD276" s="92"/>
      <c r="AE276" s="92"/>
    </row>
    <row r="277" spans="1:31">
      <c r="A277" s="79" t="str">
        <f>'CALIBRATION GUIDE'!B330</f>
        <v>088 P_CH24         089 P_CH25         090 P_CH26         091 P_CH27</v>
      </c>
      <c r="D277" s="88">
        <f t="shared" si="87"/>
        <v>161</v>
      </c>
      <c r="E277" s="88">
        <v>3</v>
      </c>
      <c r="G277" s="88" t="str">
        <f t="shared" ca="1" si="83"/>
        <v>270</v>
      </c>
      <c r="H277" s="90" t="str">
        <f t="shared" ca="1" si="84"/>
        <v>PW_OFFSET_Q_20</v>
      </c>
      <c r="I277" s="91" t="str">
        <f t="shared" ca="1" si="85"/>
        <v>0</v>
      </c>
      <c r="J277" s="92" t="s">
        <v>11</v>
      </c>
      <c r="K277" s="92">
        <f t="shared" ca="1" si="86"/>
        <v>0</v>
      </c>
      <c r="Q277" s="88"/>
      <c r="R277" s="90"/>
      <c r="S277" s="91"/>
      <c r="T277" s="92"/>
      <c r="U277" s="92"/>
      <c r="AA277" s="88"/>
      <c r="AB277" s="90"/>
      <c r="AC277" s="91"/>
      <c r="AD277" s="92"/>
      <c r="AE277" s="92"/>
    </row>
    <row r="278" spans="1:31">
      <c r="A278" s="79" t="str">
        <f>'CALIBRATION GUIDE'!B331</f>
        <v>0                  0                  0                  0</v>
      </c>
      <c r="D278" s="88">
        <f t="shared" si="87"/>
        <v>161</v>
      </c>
      <c r="E278" s="88">
        <v>4</v>
      </c>
      <c r="G278" s="88" t="str">
        <f t="shared" ca="1" si="83"/>
        <v>271</v>
      </c>
      <c r="H278" s="90" t="str">
        <f t="shared" ca="1" si="84"/>
        <v>PW_OFFSET_Q_21</v>
      </c>
      <c r="I278" s="91" t="str">
        <f t="shared" ca="1" si="85"/>
        <v>0</v>
      </c>
      <c r="J278" s="92" t="s">
        <v>11</v>
      </c>
      <c r="K278" s="92">
        <f t="shared" ca="1" si="86"/>
        <v>0</v>
      </c>
      <c r="Q278" s="88"/>
      <c r="R278" s="90"/>
      <c r="S278" s="91"/>
      <c r="T278" s="92"/>
      <c r="U278" s="92"/>
      <c r="AA278" s="88"/>
      <c r="AB278" s="90"/>
      <c r="AC278" s="91"/>
      <c r="AD278" s="92"/>
      <c r="AE278" s="92"/>
    </row>
    <row r="279" spans="1:31">
      <c r="A279" s="79" t="str">
        <f>'CALIBRATION GUIDE'!B332</f>
        <v>092 P_CH28         093 P_CH29         094 P_CH30         095 RESERVED_A095</v>
      </c>
      <c r="D279" s="88">
        <f t="shared" si="87"/>
        <v>163</v>
      </c>
      <c r="E279" s="88">
        <v>1</v>
      </c>
      <c r="G279" s="88" t="str">
        <f t="shared" ca="1" si="83"/>
        <v>272</v>
      </c>
      <c r="H279" s="90" t="str">
        <f t="shared" ca="1" si="84"/>
        <v>PW_OFFSET_Q_22</v>
      </c>
      <c r="I279" s="91" t="str">
        <f t="shared" ca="1" si="85"/>
        <v>0</v>
      </c>
      <c r="J279" s="92" t="s">
        <v>11</v>
      </c>
      <c r="K279" s="92">
        <f t="shared" ca="1" si="86"/>
        <v>0</v>
      </c>
      <c r="Q279" s="88"/>
      <c r="R279" s="90"/>
      <c r="S279" s="91"/>
      <c r="T279" s="92"/>
      <c r="U279" s="92"/>
      <c r="AA279" s="88"/>
      <c r="AB279" s="90"/>
      <c r="AC279" s="91"/>
      <c r="AD279" s="92"/>
      <c r="AE279" s="92"/>
    </row>
    <row r="280" spans="1:31">
      <c r="A280" s="79" t="str">
        <f>'CALIBRATION GUIDE'!B333</f>
        <v>0                  0                  0                  0</v>
      </c>
      <c r="D280" s="88">
        <f t="shared" si="87"/>
        <v>163</v>
      </c>
      <c r="E280" s="88">
        <v>2</v>
      </c>
      <c r="G280" s="88" t="str">
        <f t="shared" ca="1" si="83"/>
        <v>273</v>
      </c>
      <c r="H280" s="90" t="str">
        <f t="shared" ca="1" si="84"/>
        <v>PW_OFFSET_Q_23</v>
      </c>
      <c r="I280" s="91" t="str">
        <f t="shared" ca="1" si="85"/>
        <v>0</v>
      </c>
      <c r="J280" s="92" t="s">
        <v>11</v>
      </c>
      <c r="K280" s="92">
        <f t="shared" ca="1" si="86"/>
        <v>0</v>
      </c>
      <c r="Q280" s="88"/>
      <c r="R280" s="90"/>
      <c r="S280" s="91"/>
      <c r="T280" s="92"/>
      <c r="U280" s="92"/>
      <c r="AA280" s="88"/>
      <c r="AB280" s="90"/>
      <c r="AC280" s="91"/>
      <c r="AD280" s="92"/>
      <c r="AE280" s="92"/>
    </row>
    <row r="281" spans="1:31">
      <c r="A281" s="79" t="str">
        <f>'CALIBRATION GUIDE'!B334</f>
        <v>096 P_CH0_F        097 P_CH1_F        098 P_CH2_F        099 P_CH3_F</v>
      </c>
      <c r="D281" s="88">
        <f t="shared" si="87"/>
        <v>163</v>
      </c>
      <c r="E281" s="88">
        <v>3</v>
      </c>
      <c r="G281" s="88" t="str">
        <f t="shared" ca="1" si="83"/>
        <v>274</v>
      </c>
      <c r="H281" s="90" t="str">
        <f t="shared" ca="1" si="84"/>
        <v>PW_OFFSET_Q_24</v>
      </c>
      <c r="I281" s="91" t="str">
        <f t="shared" ca="1" si="85"/>
        <v>0</v>
      </c>
      <c r="J281" s="92" t="s">
        <v>11</v>
      </c>
      <c r="K281" s="92">
        <f t="shared" ca="1" si="86"/>
        <v>0</v>
      </c>
      <c r="Q281" s="88"/>
      <c r="R281" s="90"/>
      <c r="S281" s="91"/>
      <c r="T281" s="92"/>
      <c r="U281" s="92"/>
      <c r="AA281" s="88"/>
      <c r="AB281" s="90"/>
      <c r="AC281" s="91"/>
      <c r="AD281" s="92"/>
      <c r="AE281" s="92"/>
    </row>
    <row r="282" spans="1:31">
      <c r="A282" s="79" t="str">
        <f>'CALIBRATION GUIDE'!B335</f>
        <v>CF09E468490        CEAC7264C2A        CEAA3FEF907        0</v>
      </c>
      <c r="D282" s="88">
        <f t="shared" si="87"/>
        <v>163</v>
      </c>
      <c r="E282" s="88">
        <v>4</v>
      </c>
      <c r="G282" s="88" t="str">
        <f t="shared" ca="1" si="83"/>
        <v>275</v>
      </c>
      <c r="H282" s="90" t="str">
        <f t="shared" ca="1" si="84"/>
        <v>PW_OFFSET_Q_25</v>
      </c>
      <c r="I282" s="91" t="str">
        <f t="shared" ca="1" si="85"/>
        <v>0</v>
      </c>
      <c r="J282" s="92" t="s">
        <v>11</v>
      </c>
      <c r="K282" s="92">
        <f t="shared" ca="1" si="86"/>
        <v>0</v>
      </c>
      <c r="Q282" s="88"/>
      <c r="R282" s="90"/>
      <c r="S282" s="91"/>
      <c r="T282" s="92"/>
      <c r="U282" s="92"/>
      <c r="AA282" s="88"/>
      <c r="AB282" s="90"/>
      <c r="AC282" s="91"/>
      <c r="AD282" s="92"/>
      <c r="AE282" s="92"/>
    </row>
    <row r="283" spans="1:31">
      <c r="A283" s="79" t="str">
        <f>'CALIBRATION GUIDE'!B336</f>
        <v>100 P_CH4_F        101 P_CH5_F        102 P_CH6_F        103 P_CH7_F</v>
      </c>
      <c r="D283" s="88">
        <f t="shared" si="87"/>
        <v>165</v>
      </c>
      <c r="E283" s="88">
        <v>1</v>
      </c>
      <c r="G283" s="88" t="str">
        <f t="shared" ca="1" si="83"/>
        <v>276</v>
      </c>
      <c r="H283" s="90" t="str">
        <f t="shared" ca="1" si="84"/>
        <v>PW_OFFSET_Q_26</v>
      </c>
      <c r="I283" s="91" t="str">
        <f t="shared" ca="1" si="85"/>
        <v>0</v>
      </c>
      <c r="J283" s="92" t="s">
        <v>11</v>
      </c>
      <c r="K283" s="92">
        <f t="shared" ca="1" si="86"/>
        <v>0</v>
      </c>
      <c r="Q283" s="88"/>
      <c r="R283" s="90"/>
      <c r="S283" s="91"/>
      <c r="T283" s="92"/>
      <c r="U283" s="92"/>
      <c r="AA283" s="88"/>
      <c r="AB283" s="90"/>
      <c r="AC283" s="91"/>
      <c r="AD283" s="92"/>
      <c r="AE283" s="92"/>
    </row>
    <row r="284" spans="1:31">
      <c r="A284" s="79" t="str">
        <f>'CALIBRATION GUIDE'!B337</f>
        <v>0                  0                  0                  0</v>
      </c>
      <c r="D284" s="88">
        <f t="shared" si="87"/>
        <v>165</v>
      </c>
      <c r="E284" s="88">
        <v>2</v>
      </c>
      <c r="G284" s="88" t="str">
        <f t="shared" ca="1" si="83"/>
        <v>277</v>
      </c>
      <c r="H284" s="90" t="str">
        <f t="shared" ca="1" si="84"/>
        <v>PW_OFFSET_Q_27</v>
      </c>
      <c r="I284" s="91" t="str">
        <f t="shared" ca="1" si="85"/>
        <v>0</v>
      </c>
      <c r="J284" s="92" t="s">
        <v>11</v>
      </c>
      <c r="K284" s="92">
        <f t="shared" ca="1" si="86"/>
        <v>0</v>
      </c>
      <c r="Q284" s="88"/>
      <c r="R284" s="90"/>
      <c r="S284" s="91"/>
      <c r="T284" s="92"/>
      <c r="U284" s="92"/>
      <c r="AA284" s="88"/>
      <c r="AB284" s="90"/>
      <c r="AC284" s="91"/>
      <c r="AD284" s="92"/>
      <c r="AE284" s="92"/>
    </row>
    <row r="285" spans="1:31">
      <c r="A285" s="79" t="str">
        <f>'CALIBRATION GUIDE'!B338</f>
        <v>104 P_CH8_F        105 P_CH9_F        106 P_CH10_F       107 P_CH11_F</v>
      </c>
      <c r="D285" s="88">
        <f t="shared" si="87"/>
        <v>165</v>
      </c>
      <c r="E285" s="88">
        <v>3</v>
      </c>
      <c r="G285" s="88" t="str">
        <f t="shared" ca="1" si="83"/>
        <v>278</v>
      </c>
      <c r="H285" s="90" t="str">
        <f t="shared" ca="1" si="84"/>
        <v>PW_OFFSET_Q_28</v>
      </c>
      <c r="I285" s="91" t="str">
        <f t="shared" ca="1" si="85"/>
        <v>0</v>
      </c>
      <c r="J285" s="92" t="s">
        <v>11</v>
      </c>
      <c r="K285" s="92">
        <f t="shared" ca="1" si="86"/>
        <v>0</v>
      </c>
      <c r="Q285" s="88"/>
      <c r="R285" s="90"/>
      <c r="S285" s="91"/>
      <c r="T285" s="92"/>
      <c r="U285" s="92"/>
      <c r="AA285" s="88"/>
      <c r="AB285" s="90"/>
      <c r="AC285" s="91"/>
      <c r="AD285" s="92"/>
      <c r="AE285" s="92"/>
    </row>
    <row r="286" spans="1:31">
      <c r="A286" s="79" t="str">
        <f>'CALIBRATION GUIDE'!B339</f>
        <v>0                  0                  0                  0</v>
      </c>
      <c r="D286" s="88">
        <f t="shared" si="87"/>
        <v>165</v>
      </c>
      <c r="E286" s="88">
        <v>4</v>
      </c>
      <c r="G286" s="88" t="str">
        <f t="shared" ca="1" si="83"/>
        <v>279</v>
      </c>
      <c r="H286" s="90" t="str">
        <f t="shared" ca="1" si="84"/>
        <v>PW_OFFSET_Q_29</v>
      </c>
      <c r="I286" s="91" t="str">
        <f t="shared" ca="1" si="85"/>
        <v>0</v>
      </c>
      <c r="J286" s="92" t="s">
        <v>11</v>
      </c>
      <c r="K286" s="92">
        <f t="shared" ca="1" si="86"/>
        <v>0</v>
      </c>
      <c r="Q286" s="88"/>
      <c r="R286" s="90"/>
      <c r="S286" s="91"/>
      <c r="T286" s="92"/>
      <c r="U286" s="92"/>
      <c r="AA286" s="88"/>
      <c r="AB286" s="90"/>
      <c r="AC286" s="91"/>
      <c r="AD286" s="92"/>
      <c r="AE286" s="92"/>
    </row>
    <row r="287" spans="1:31">
      <c r="A287" s="79" t="str">
        <f>'CALIBRATION GUIDE'!B340</f>
        <v>108 P_CH12_F       109 P_CH13_F       110 P_CH14_F       111 P_CH15_F</v>
      </c>
      <c r="D287" s="88">
        <f t="shared" si="87"/>
        <v>167</v>
      </c>
      <c r="E287" s="88">
        <v>1</v>
      </c>
      <c r="G287" s="88" t="str">
        <f t="shared" ca="1" si="83"/>
        <v>280</v>
      </c>
      <c r="H287" s="90" t="str">
        <f t="shared" ca="1" si="84"/>
        <v>PW_OFFSET_Q_30</v>
      </c>
      <c r="I287" s="91" t="str">
        <f t="shared" ca="1" si="85"/>
        <v>0</v>
      </c>
      <c r="J287" s="92" t="s">
        <v>11</v>
      </c>
      <c r="K287" s="92">
        <f t="shared" ca="1" si="86"/>
        <v>0</v>
      </c>
      <c r="Q287" s="88"/>
      <c r="R287" s="90"/>
      <c r="S287" s="91"/>
      <c r="T287" s="92"/>
      <c r="U287" s="92"/>
      <c r="AA287" s="88"/>
      <c r="AB287" s="90"/>
      <c r="AC287" s="91"/>
      <c r="AD287" s="92"/>
      <c r="AE287" s="92"/>
    </row>
    <row r="288" spans="1:31">
      <c r="A288" s="79" t="str">
        <f>'CALIBRATION GUIDE'!B341</f>
        <v>0                  0                  0                  0</v>
      </c>
      <c r="D288" s="88">
        <f t="shared" si="87"/>
        <v>167</v>
      </c>
      <c r="E288" s="88">
        <v>2</v>
      </c>
      <c r="G288" s="88" t="str">
        <f t="shared" ca="1" si="83"/>
        <v>281</v>
      </c>
      <c r="H288" s="90" t="str">
        <f t="shared" ca="1" si="84"/>
        <v>RESERVED_C281</v>
      </c>
      <c r="I288" s="91" t="str">
        <f t="shared" ca="1" si="85"/>
        <v>0</v>
      </c>
      <c r="J288" s="92" t="s">
        <v>11</v>
      </c>
      <c r="K288" s="92">
        <f t="shared" ca="1" si="86"/>
        <v>0</v>
      </c>
      <c r="Q288" s="88"/>
      <c r="R288" s="90"/>
      <c r="S288" s="91"/>
      <c r="T288" s="92"/>
      <c r="U288" s="92"/>
      <c r="AA288" s="88"/>
      <c r="AB288" s="90"/>
      <c r="AC288" s="91"/>
      <c r="AD288" s="92"/>
      <c r="AE288" s="92"/>
    </row>
    <row r="289" spans="1:31">
      <c r="A289" s="79" t="str">
        <f>'CALIBRATION GUIDE'!B342</f>
        <v>112 P_CH16_F       113 P_CH17_F       114 P_CH18_F       115 P_CH19_F</v>
      </c>
      <c r="G289" s="88"/>
      <c r="H289" s="90"/>
      <c r="I289" s="91"/>
      <c r="J289" s="92"/>
      <c r="K289" s="92"/>
      <c r="Q289" s="88"/>
      <c r="R289" s="90"/>
      <c r="S289" s="91"/>
      <c r="T289" s="92"/>
      <c r="U289" s="92"/>
      <c r="AA289" s="88"/>
      <c r="AB289" s="90"/>
      <c r="AC289" s="91"/>
      <c r="AD289" s="92"/>
      <c r="AE289" s="92"/>
    </row>
    <row r="290" spans="1:31">
      <c r="A290" s="79" t="str">
        <f>'CALIBRATION GUIDE'!B343</f>
        <v>0                  0                  0                  0</v>
      </c>
      <c r="G290" s="88"/>
      <c r="H290" s="90"/>
      <c r="I290" s="91"/>
      <c r="J290" s="92"/>
      <c r="K290" s="92"/>
      <c r="Q290" s="88"/>
      <c r="R290" s="90"/>
      <c r="S290" s="91"/>
      <c r="T290" s="92"/>
      <c r="U290" s="92"/>
      <c r="AA290" s="88"/>
      <c r="AB290" s="90"/>
      <c r="AC290" s="91"/>
      <c r="AD290" s="92"/>
      <c r="AE290" s="92"/>
    </row>
    <row r="291" spans="1:31">
      <c r="A291" s="79" t="str">
        <f>'CALIBRATION GUIDE'!B344</f>
        <v>116 P_CH20_F       117 P_CH21_F       118 P_CH22_F       119 P_CH23_F</v>
      </c>
    </row>
    <row r="292" spans="1:31">
      <c r="A292" s="79" t="str">
        <f>'CALIBRATION GUIDE'!B345</f>
        <v>0                  0                  0                  0</v>
      </c>
    </row>
    <row r="293" spans="1:31">
      <c r="A293" s="79" t="str">
        <f>'CALIBRATION GUIDE'!B346</f>
        <v>120 P_CH24_F       121 P_CH25_F       122 P_CH26_F       123 P_CH27_F</v>
      </c>
    </row>
    <row r="294" spans="1:31">
      <c r="A294" s="79" t="str">
        <f>'CALIBRATION GUIDE'!B347</f>
        <v>0                  0                  0                  0</v>
      </c>
    </row>
    <row r="295" spans="1:31">
      <c r="A295" s="79" t="str">
        <f>'CALIBRATION GUIDE'!B348</f>
        <v>124 P_CH28_F       125 P_CH29_F       126 P_CH30_F       127 RESERVED_A127</v>
      </c>
    </row>
    <row r="296" spans="1:31">
      <c r="A296" s="79" t="str">
        <f>'CALIBRATION GUIDE'!B349</f>
        <v>0                  0                  0                  0</v>
      </c>
    </row>
    <row r="297" spans="1:31">
      <c r="A297" s="79" t="str">
        <f>'CALIBRATION GUIDE'!B350</f>
        <v>128 Q_CH0          129 Q_CH1          130 Q_CH2          131 Q_CH3</v>
      </c>
    </row>
    <row r="298" spans="1:31">
      <c r="A298" s="79" t="str">
        <f>'CALIBRATION GUIDE'!B351</f>
        <v>165C996AFBB3       1650EFFD5AF8       164F145D3302       0</v>
      </c>
    </row>
    <row r="299" spans="1:31">
      <c r="A299" s="79" t="str">
        <f>'CALIBRATION GUIDE'!B352</f>
        <v>132 Q_CH4          133 Q_CH5          134 Q_CH6          135 Q_CH7</v>
      </c>
    </row>
    <row r="300" spans="1:31">
      <c r="A300" s="79" t="str">
        <f>'CALIBRATION GUIDE'!B353</f>
        <v>0                  0                  0                  0</v>
      </c>
    </row>
    <row r="301" spans="1:31">
      <c r="A301" s="79" t="str">
        <f>'CALIBRATION GUIDE'!B354</f>
        <v>136 Q_CH8          137 Q_CH9          138 Q_CH10         139 Q_CH11</v>
      </c>
    </row>
    <row r="302" spans="1:31">
      <c r="A302" s="79" t="str">
        <f>'CALIBRATION GUIDE'!B355</f>
        <v>0                  0                  0                  0</v>
      </c>
    </row>
    <row r="303" spans="1:31">
      <c r="A303" s="79" t="str">
        <f>'CALIBRATION GUIDE'!B356</f>
        <v>140 Q_CH12         141 Q_CH13         142 Q_CH14         143 Q_CH15</v>
      </c>
    </row>
    <row r="304" spans="1:31">
      <c r="A304" s="79" t="str">
        <f>'CALIBRATION GUIDE'!B357</f>
        <v>0                  0                  0                  0</v>
      </c>
    </row>
    <row r="305" spans="1:1">
      <c r="A305" s="79" t="str">
        <f>'CALIBRATION GUIDE'!B358</f>
        <v>144 Q_CH16         145 Q_CH17         146 Q_CH18         147 Q_CH19</v>
      </c>
    </row>
    <row r="306" spans="1:1">
      <c r="A306" s="79" t="str">
        <f>'CALIBRATION GUIDE'!B359</f>
        <v>0                  0                  0                  0</v>
      </c>
    </row>
    <row r="307" spans="1:1">
      <c r="A307" s="79" t="str">
        <f>'CALIBRATION GUIDE'!B360</f>
        <v>148 Q_CH20         149 Q_CH21         150 Q_CH22         151 Q_CH23</v>
      </c>
    </row>
    <row r="308" spans="1:1">
      <c r="A308" s="79" t="str">
        <f>'CALIBRATION GUIDE'!B361</f>
        <v>0                  0                  0                  0</v>
      </c>
    </row>
    <row r="309" spans="1:1">
      <c r="A309" s="79" t="str">
        <f>'CALIBRATION GUIDE'!B362</f>
        <v>152 Q_CH24         153 Q_CH25         154 Q_CH26         155 Q_CH27</v>
      </c>
    </row>
    <row r="310" spans="1:1">
      <c r="A310" s="79" t="str">
        <f>'CALIBRATION GUIDE'!B363</f>
        <v>0                  0                  0                  0</v>
      </c>
    </row>
    <row r="311" spans="1:1">
      <c r="A311" s="79" t="str">
        <f>'CALIBRATION GUIDE'!B364</f>
        <v>156 Q_CH28         157 Q_CH29         158 Q_CH30         159 RESERVED_A159</v>
      </c>
    </row>
    <row r="312" spans="1:1">
      <c r="A312" s="79" t="str">
        <f>'CALIBRATION GUIDE'!B365</f>
        <v>0                  0                  0                  0</v>
      </c>
    </row>
    <row r="313" spans="1:1">
      <c r="A313" s="79" t="str">
        <f>'CALIBRATION GUIDE'!B366</f>
        <v>160 Q_CH0_F        161 Q_CH1_F        162 Q_CH2_F        163 Q_CH3_F</v>
      </c>
    </row>
    <row r="314" spans="1:1">
      <c r="A314" s="79" t="str">
        <f>'CALIBRATION GUIDE'!B367</f>
        <v>165E0D2E9076       164EC6A16342       164F864986FF       0</v>
      </c>
    </row>
    <row r="315" spans="1:1">
      <c r="A315" s="79" t="str">
        <f>'CALIBRATION GUIDE'!B368</f>
        <v>164 Q_CH4_F        165 Q_CH5_F        166 Q_CH6_F        167 Q_CH7_F</v>
      </c>
    </row>
    <row r="316" spans="1:1">
      <c r="A316" s="79" t="str">
        <f>'CALIBRATION GUIDE'!B369</f>
        <v>0                  0                  0                  0</v>
      </c>
    </row>
    <row r="317" spans="1:1">
      <c r="A317" s="79" t="str">
        <f>'CALIBRATION GUIDE'!B370</f>
        <v>168 Q_CH8_F        169 Q_CH9_F        170 Q_CH10_F       171 Q_CH11_F</v>
      </c>
    </row>
    <row r="318" spans="1:1">
      <c r="A318" s="79" t="str">
        <f>'CALIBRATION GUIDE'!B371</f>
        <v>0                  0                  0                  0</v>
      </c>
    </row>
    <row r="319" spans="1:1">
      <c r="A319" s="79" t="str">
        <f>'CALIBRATION GUIDE'!B372</f>
        <v>172 Q_CH12_F       173 Q_CH13_F       174 Q_CH14_F       175 Q_CH15_F</v>
      </c>
    </row>
    <row r="320" spans="1:1">
      <c r="A320" s="79" t="str">
        <f>'CALIBRATION GUIDE'!B373</f>
        <v>0                  0                  0                  0</v>
      </c>
    </row>
    <row r="321" spans="1:1">
      <c r="A321" s="79" t="str">
        <f>'CALIBRATION GUIDE'!B374</f>
        <v>176 Q_CH16_F       177 Q_CH17_F       178 Q_CH18_F       179 Q_CH19_F</v>
      </c>
    </row>
    <row r="322" spans="1:1">
      <c r="A322" s="79" t="str">
        <f>'CALIBRATION GUIDE'!B375</f>
        <v>0                  0                  0                  0</v>
      </c>
    </row>
    <row r="323" spans="1:1">
      <c r="A323" s="79" t="str">
        <f>'CALIBRATION GUIDE'!B376</f>
        <v>180 Q_CH20_F       181 Q_CH21_F       182 Q_CH22_F       183 Q_CH23_F</v>
      </c>
    </row>
    <row r="324" spans="1:1">
      <c r="A324" s="79" t="str">
        <f>'CALIBRATION GUIDE'!B377</f>
        <v>0                  0                  0                  0</v>
      </c>
    </row>
    <row r="325" spans="1:1">
      <c r="A325" s="79" t="str">
        <f>'CALIBRATION GUIDE'!B378</f>
        <v>184 Q_CH24_F       185 Q_CH25_F       186 Q_CH26_F       187 Q_CH27_F</v>
      </c>
    </row>
    <row r="326" spans="1:1">
      <c r="A326" s="79" t="str">
        <f>'CALIBRATION GUIDE'!B379</f>
        <v>0                  0                  0                  0</v>
      </c>
    </row>
    <row r="327" spans="1:1">
      <c r="A327" s="79" t="str">
        <f>'CALIBRATION GUIDE'!B380</f>
        <v>188 Q_CH28_F       189 Q_CH29_F       190 Q_CH30_F       191 RESERVED_A191</v>
      </c>
    </row>
    <row r="328" spans="1:1">
      <c r="A328" s="79" t="str">
        <f>'CALIBRATION GUIDE'!B381</f>
        <v>0                  0                  0                  0</v>
      </c>
    </row>
    <row r="329" spans="1:1">
      <c r="A329" s="79" t="str">
        <f>'CALIBRATION GUIDE'!B382</f>
        <v>192 V_AB           193 V_BC           194 V_CA           195 V_AB_F</v>
      </c>
    </row>
    <row r="330" spans="1:1">
      <c r="A330" s="79" t="str">
        <f>'CALIBRATION GUIDE'!B383</f>
        <v>CBC97AF49451       CBD49F0C32C7       CBDCD2A8FCC0       CBD059AB4328</v>
      </c>
    </row>
    <row r="331" spans="1:1">
      <c r="A331" s="79" t="str">
        <f>'CALIBRATION GUIDE'!B384</f>
        <v>196 V_BC_F         197 V_CA_F         198 ACC_T0         199 ACC_T1</v>
      </c>
    </row>
    <row r="332" spans="1:1">
      <c r="A332" s="79" t="str">
        <f>'CALIBRATION GUIDE'!B385</f>
        <v>CBDD368F0B65       CBCAA0D56B15       1D65A3DA52B        2A7A7300CAB</v>
      </c>
    </row>
    <row r="333" spans="1:1">
      <c r="A333" s="79" t="str">
        <f>'CALIBRATION GUIDE'!B386</f>
        <v>200 ACC_T2         201 RESERVED_A201  202 RESERVED_A202  203 RESERVED_A203</v>
      </c>
    </row>
    <row r="334" spans="1:1">
      <c r="A334" s="79" t="str">
        <f>'CALIBRATION GUIDE'!B387</f>
        <v>0                  0                  0                  0</v>
      </c>
    </row>
    <row r="335" spans="1:1">
      <c r="A335" s="79" t="str">
        <f>'CALIBRATION GUIDE'!B388</f>
        <v>204 RESERVED_A204  205 RESERVED_A205  206 RESERVED_A206  207 RESERVED_A207</v>
      </c>
    </row>
    <row r="336" spans="1:1">
      <c r="A336" s="79" t="str">
        <f>'CALIBRATION GUIDE'!B389</f>
        <v>0                  0                  0                  0</v>
      </c>
    </row>
    <row r="337" spans="1:1">
      <c r="A337" s="79" t="str">
        <f>'CALIBRATION GUIDE'!B390</f>
        <v>208 RESERVED_A208  209 RESERVED_A209  210 RESERVED_A210  211 RESERVED_A211</v>
      </c>
    </row>
    <row r="338" spans="1:1">
      <c r="A338" s="79" t="str">
        <f>'CALIBRATION GUIDE'!B391</f>
        <v>0                  0                  0                  2A677D8EA63</v>
      </c>
    </row>
    <row r="339" spans="1:1">
      <c r="A339" s="79" t="str">
        <f>'CALIBRATION GUIDE'!B392</f>
        <v>212 RESERVED_A212  213 RESERVED_A213  214 RESERVED_A214  215 RESERVED_A215</v>
      </c>
    </row>
    <row r="340" spans="1:1">
      <c r="A340" s="79" t="str">
        <f>'CALIBRATION GUIDE'!B393</f>
        <v>2A7A7300CAB        1D5AAA80BAE        1D65A3DA52B        0</v>
      </c>
    </row>
  </sheetData>
  <mergeCells count="1">
    <mergeCell ref="A2:A4"/>
  </mergeCells>
  <pageMargins left="0.7" right="0.7" top="0.75" bottom="0.75" header="0.3" footer="0.3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55278F50B4F409B95998A494EFDF1" ma:contentTypeVersion="15" ma:contentTypeDescription="Create a new document." ma:contentTypeScope="" ma:versionID="0e857b6049d43708c686c56532b2688c">
  <xsd:schema xmlns:xsd="http://www.w3.org/2001/XMLSchema" xmlns:xs="http://www.w3.org/2001/XMLSchema" xmlns:p="http://schemas.microsoft.com/office/2006/metadata/properties" xmlns:ns2="ae25c73b-78d2-413e-b4cd-f8b7791c8953" xmlns:ns3="e6df03f0-5b9e-45c6-84fe-c1f4ff32cb1e" targetNamespace="http://schemas.microsoft.com/office/2006/metadata/properties" ma:root="true" ma:fieldsID="4494a1f19e95dfe5d07888a5498c8416" ns2:_="" ns3:_="">
    <xsd:import namespace="ae25c73b-78d2-413e-b4cd-f8b7791c8953"/>
    <xsd:import namespace="e6df03f0-5b9e-45c6-84fe-c1f4ff32c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25c73b-78d2-413e-b4cd-f8b7791c89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05317c1-dc7b-42fe-8bc5-04171b90da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f03f0-5b9e-45c6-84fe-c1f4ff32c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a72a168-8439-42fd-8c75-bae8eaaf37ac}" ma:internalName="TaxCatchAll" ma:showField="CatchAllData" ma:web="e6df03f0-5b9e-45c6-84fe-c1f4ff32c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df03f0-5b9e-45c6-84fe-c1f4ff32cb1e" xsi:nil="true"/>
    <lcf76f155ced4ddcb4097134ff3c332f xmlns="ae25c73b-78d2-413e-b4cd-f8b7791c895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9DDDCE-A9B9-4CCD-A2FE-3023D6101A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25c73b-78d2-413e-b4cd-f8b7791c8953"/>
    <ds:schemaRef ds:uri="e6df03f0-5b9e-45c6-84fe-c1f4ff32cb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0C1C5C-67B6-42A6-9F12-D841AEF6CFE3}">
  <ds:schemaRefs>
    <ds:schemaRef ds:uri="http://www.w3.org/XML/1998/namespace"/>
    <ds:schemaRef ds:uri="http://purl.org/dc/terms/"/>
    <ds:schemaRef ds:uri="5241492b-fdfe-4683-a675-c76d41239cb3"/>
    <ds:schemaRef ds:uri="http://schemas.microsoft.com/office/2006/documentManagement/types"/>
    <ds:schemaRef ds:uri="http://schemas.microsoft.com/office/2006/metadata/properties"/>
    <ds:schemaRef ds:uri="57defcfa-8ce6-43d9-a37b-a577382a5174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e6df03f0-5b9e-45c6-84fe-c1f4ff32cb1e"/>
    <ds:schemaRef ds:uri="ae25c73b-78d2-413e-b4cd-f8b7791c8953"/>
  </ds:schemaRefs>
</ds:datastoreItem>
</file>

<file path=customXml/itemProps3.xml><?xml version="1.0" encoding="utf-8"?>
<ds:datastoreItem xmlns:ds="http://schemas.openxmlformats.org/officeDocument/2006/customXml" ds:itemID="{C551E739-9C76-4365-98E2-DF316C0ADA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CONFIGURATOR</vt:lpstr>
      <vt:lpstr>CALIBRATION GUIDE</vt:lpstr>
      <vt:lpstr>TOOLS</vt:lpstr>
      <vt:lpstr>Version control</vt:lpstr>
      <vt:lpstr>CMD GENERATOR</vt:lpstr>
      <vt:lpstr>AUX_INTERNAL</vt:lpstr>
      <vt:lpstr>CALCULATIONS MCP</vt:lpstr>
      <vt:lpstr>'CALIBRATION GUIDE'!Print_Area</vt:lpstr>
      <vt:lpstr>TOOLS!Print_Area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Staver - C18261</dc:creator>
  <cp:keywords/>
  <dc:description/>
  <cp:lastModifiedBy>Alfredo Crespo Abon - M19890</cp:lastModifiedBy>
  <cp:revision/>
  <dcterms:created xsi:type="dcterms:W3CDTF">2020-11-08T02:43:49Z</dcterms:created>
  <dcterms:modified xsi:type="dcterms:W3CDTF">2024-06-27T08:15:09Z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0x01010054155278F50B4F409B95998A494EFDF1</vt:lpwstr>
  </property>
</Properties>
</file>